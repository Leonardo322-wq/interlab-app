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22966950\Documents\Etiquetas\INTERLAB\"/>
    </mc:Choice>
  </mc:AlternateContent>
  <bookViews>
    <workbookView xWindow="-120" yWindow="-120" windowWidth="24240" windowHeight="13140" activeTab="1"/>
  </bookViews>
  <sheets>
    <sheet name="FORMULARIO" sheetId="1" r:id="rId1"/>
    <sheet name="BALANCE" sheetId="4" r:id="rId2"/>
    <sheet name="REQUISICION DE GASES" sheetId="2" r:id="rId3"/>
    <sheet name="ENTREGACILINDROSMESSER" sheetId="3" r:id="rId4"/>
    <sheet name="CILINDROS VACIOS" sheetId="5" r:id="rId5"/>
    <sheet name="NOVEDADES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5" l="1"/>
  <c r="P8" i="4" l="1"/>
  <c r="C8" i="5"/>
  <c r="E7" i="4" a="1"/>
  <c r="E7" i="4" s="1"/>
  <c r="E8" i="4" a="1"/>
  <c r="E8" i="4" s="1"/>
  <c r="E9" i="4" a="1"/>
  <c r="E9" i="4" s="1"/>
  <c r="E10" i="4" a="1"/>
  <c r="E10" i="4" s="1"/>
  <c r="E11" i="4" a="1"/>
  <c r="E11" i="4" s="1"/>
  <c r="E6" i="4" a="1"/>
  <c r="E6" i="4" s="1"/>
  <c r="D7" i="4" a="1"/>
  <c r="D7" i="4" s="1"/>
  <c r="D8" i="4" a="1"/>
  <c r="D8" i="4" s="1"/>
  <c r="D9" i="4" a="1"/>
  <c r="D9" i="4" s="1"/>
  <c r="D10" i="4" a="1"/>
  <c r="D10" i="4" s="1"/>
  <c r="D11" i="4" a="1"/>
  <c r="D11" i="4" s="1"/>
  <c r="D6" i="4" a="1"/>
  <c r="D6" i="4" s="1"/>
  <c r="J6" i="2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9" i="5"/>
  <c r="N6" i="2" l="1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K6" i="2"/>
  <c r="P10" i="4" l="1"/>
  <c r="L6" i="2"/>
  <c r="M6" i="2"/>
  <c r="K7" i="2"/>
  <c r="L7" i="2"/>
  <c r="M7" i="2"/>
  <c r="P9" i="4"/>
  <c r="O7" i="2" l="1"/>
  <c r="O6" i="2"/>
  <c r="K66" i="2"/>
  <c r="L66" i="2"/>
  <c r="M66" i="2"/>
  <c r="K67" i="2"/>
  <c r="L67" i="2"/>
  <c r="M67" i="2"/>
  <c r="K68" i="2"/>
  <c r="L68" i="2"/>
  <c r="M68" i="2"/>
  <c r="K69" i="2"/>
  <c r="L69" i="2"/>
  <c r="M69" i="2"/>
  <c r="K70" i="2"/>
  <c r="L70" i="2"/>
  <c r="M70" i="2"/>
  <c r="K71" i="2"/>
  <c r="L71" i="2"/>
  <c r="M71" i="2"/>
  <c r="K72" i="2"/>
  <c r="L72" i="2"/>
  <c r="M72" i="2"/>
  <c r="K73" i="2"/>
  <c r="L73" i="2"/>
  <c r="M73" i="2"/>
  <c r="K74" i="2"/>
  <c r="L74" i="2"/>
  <c r="M74" i="2"/>
  <c r="K75" i="2"/>
  <c r="L75" i="2"/>
  <c r="M75" i="2"/>
  <c r="K76" i="2"/>
  <c r="L76" i="2"/>
  <c r="M76" i="2"/>
  <c r="K77" i="2"/>
  <c r="L77" i="2"/>
  <c r="M77" i="2"/>
  <c r="K78" i="2"/>
  <c r="L78" i="2"/>
  <c r="M78" i="2"/>
  <c r="K79" i="2"/>
  <c r="L79" i="2"/>
  <c r="M79" i="2"/>
  <c r="K80" i="2"/>
  <c r="L80" i="2"/>
  <c r="M80" i="2"/>
  <c r="K81" i="2"/>
  <c r="L81" i="2"/>
  <c r="M81" i="2"/>
  <c r="K82" i="2"/>
  <c r="L82" i="2"/>
  <c r="M82" i="2"/>
  <c r="K83" i="2"/>
  <c r="L83" i="2"/>
  <c r="M83" i="2"/>
  <c r="K84" i="2"/>
  <c r="L84" i="2"/>
  <c r="M84" i="2"/>
  <c r="K85" i="2"/>
  <c r="L85" i="2"/>
  <c r="M85" i="2"/>
  <c r="K86" i="2"/>
  <c r="L86" i="2"/>
  <c r="M86" i="2"/>
  <c r="K87" i="2"/>
  <c r="L87" i="2"/>
  <c r="M87" i="2"/>
  <c r="K88" i="2"/>
  <c r="L88" i="2"/>
  <c r="M88" i="2"/>
  <c r="K89" i="2"/>
  <c r="L89" i="2"/>
  <c r="M89" i="2"/>
  <c r="O72" i="2" l="1"/>
  <c r="O76" i="2"/>
  <c r="O85" i="2"/>
  <c r="O73" i="2"/>
  <c r="O69" i="2"/>
  <c r="O81" i="2"/>
  <c r="O88" i="2"/>
  <c r="O84" i="2"/>
  <c r="O89" i="2"/>
  <c r="O82" i="2"/>
  <c r="O70" i="2"/>
  <c r="O77" i="2"/>
  <c r="O78" i="2"/>
  <c r="O66" i="2"/>
  <c r="O75" i="2"/>
  <c r="O67" i="2"/>
  <c r="O87" i="2"/>
  <c r="O74" i="2"/>
  <c r="O83" i="2"/>
  <c r="O71" i="2"/>
  <c r="O86" i="2"/>
  <c r="O80" i="2"/>
  <c r="O68" i="2"/>
  <c r="O79" i="2"/>
  <c r="P6" i="4"/>
  <c r="G20" i="1"/>
  <c r="B7" i="1"/>
  <c r="K7" i="1" l="1"/>
  <c r="P7" i="4" l="1"/>
  <c r="J10" i="4" l="1"/>
  <c r="B1" i="5" l="1"/>
  <c r="C1109" i="5" l="1"/>
  <c r="C1111" i="5"/>
  <c r="C1110" i="5"/>
  <c r="C1112" i="5"/>
  <c r="C1115" i="5"/>
  <c r="C1116" i="5"/>
  <c r="C1113" i="5"/>
  <c r="C1114" i="5"/>
  <c r="C1108" i="5"/>
  <c r="C1119" i="5"/>
  <c r="C1127" i="5"/>
  <c r="C1135" i="5"/>
  <c r="C1143" i="5"/>
  <c r="C1151" i="5"/>
  <c r="C1159" i="5"/>
  <c r="C1167" i="5"/>
  <c r="C1175" i="5"/>
  <c r="C1183" i="5"/>
  <c r="C1191" i="5"/>
  <c r="C1199" i="5"/>
  <c r="C1207" i="5"/>
  <c r="C1215" i="5"/>
  <c r="C1223" i="5"/>
  <c r="C1231" i="5"/>
  <c r="C1239" i="5"/>
  <c r="C1247" i="5"/>
  <c r="C1255" i="5"/>
  <c r="C1263" i="5"/>
  <c r="C1271" i="5"/>
  <c r="C1123" i="5"/>
  <c r="C1131" i="5"/>
  <c r="C1139" i="5"/>
  <c r="C1147" i="5"/>
  <c r="C1155" i="5"/>
  <c r="C1163" i="5"/>
  <c r="C1171" i="5"/>
  <c r="C1179" i="5"/>
  <c r="C1187" i="5"/>
  <c r="C1195" i="5"/>
  <c r="C1203" i="5"/>
  <c r="C1211" i="5"/>
  <c r="C1219" i="5"/>
  <c r="C1124" i="5"/>
  <c r="C1132" i="5"/>
  <c r="C1140" i="5"/>
  <c r="C1148" i="5"/>
  <c r="C1156" i="5"/>
  <c r="C1164" i="5"/>
  <c r="C1172" i="5"/>
  <c r="C1180" i="5"/>
  <c r="C1188" i="5"/>
  <c r="C1196" i="5"/>
  <c r="C1204" i="5"/>
  <c r="C1212" i="5"/>
  <c r="C1220" i="5"/>
  <c r="C1157" i="5"/>
  <c r="C1230" i="5"/>
  <c r="C1284" i="5"/>
  <c r="C1149" i="5"/>
  <c r="C1200" i="5"/>
  <c r="C1243" i="5"/>
  <c r="C1287" i="5"/>
  <c r="C1189" i="5"/>
  <c r="C1253" i="5"/>
  <c r="C1120" i="5"/>
  <c r="C1133" i="5"/>
  <c r="C1145" i="5"/>
  <c r="C1158" i="5"/>
  <c r="C1170" i="5"/>
  <c r="C1184" i="5"/>
  <c r="C1197" i="5"/>
  <c r="C1209" i="5"/>
  <c r="C1222" i="5"/>
  <c r="C1232" i="5"/>
  <c r="C1241" i="5"/>
  <c r="C1250" i="5"/>
  <c r="C1259" i="5"/>
  <c r="C1268" i="5"/>
  <c r="C1277" i="5"/>
  <c r="C1285" i="5"/>
  <c r="C1293" i="5"/>
  <c r="C1121" i="5"/>
  <c r="C1134" i="5"/>
  <c r="C1146" i="5"/>
  <c r="C1160" i="5"/>
  <c r="C1173" i="5"/>
  <c r="C1185" i="5"/>
  <c r="C1198" i="5"/>
  <c r="C1210" i="5"/>
  <c r="C1224" i="5"/>
  <c r="C1233" i="5"/>
  <c r="C1242" i="5"/>
  <c r="C1251" i="5"/>
  <c r="C1260" i="5"/>
  <c r="C1269" i="5"/>
  <c r="C1278" i="5"/>
  <c r="C1286" i="5"/>
  <c r="C1294" i="5"/>
  <c r="C1161" i="5"/>
  <c r="C1225" i="5"/>
  <c r="C1261" i="5"/>
  <c r="C1295" i="5"/>
  <c r="C1125" i="5"/>
  <c r="C1176" i="5"/>
  <c r="C1235" i="5"/>
  <c r="C1288" i="5"/>
  <c r="C1244" i="5"/>
  <c r="C1296" i="5"/>
  <c r="C1137" i="5"/>
  <c r="C1201" i="5"/>
  <c r="C1262" i="5"/>
  <c r="C1126" i="5"/>
  <c r="C1138" i="5"/>
  <c r="C1152" i="5"/>
  <c r="C1165" i="5"/>
  <c r="C1177" i="5"/>
  <c r="C1190" i="5"/>
  <c r="C1202" i="5"/>
  <c r="C1216" i="5"/>
  <c r="C1227" i="5"/>
  <c r="C1236" i="5"/>
  <c r="C1245" i="5"/>
  <c r="C1254" i="5"/>
  <c r="C1264" i="5"/>
  <c r="C1273" i="5"/>
  <c r="C1281" i="5"/>
  <c r="C1289" i="5"/>
  <c r="C1297" i="5"/>
  <c r="C1129" i="5"/>
  <c r="C1154" i="5"/>
  <c r="C1181" i="5"/>
  <c r="C1206" i="5"/>
  <c r="C1229" i="5"/>
  <c r="C1248" i="5"/>
  <c r="C1266" i="5"/>
  <c r="C1283" i="5"/>
  <c r="C1299" i="5"/>
  <c r="C1130" i="5"/>
  <c r="C1182" i="5"/>
  <c r="C1208" i="5"/>
  <c r="C1240" i="5"/>
  <c r="C1267" i="5"/>
  <c r="C1292" i="5"/>
  <c r="C1122" i="5"/>
  <c r="C1186" i="5"/>
  <c r="C1234" i="5"/>
  <c r="C1279" i="5"/>
  <c r="C1162" i="5"/>
  <c r="C1226" i="5"/>
  <c r="C1280" i="5"/>
  <c r="C1128" i="5"/>
  <c r="C1141" i="5"/>
  <c r="C1153" i="5"/>
  <c r="C1166" i="5"/>
  <c r="C1178" i="5"/>
  <c r="C1192" i="5"/>
  <c r="C1205" i="5"/>
  <c r="C1217" i="5"/>
  <c r="C1228" i="5"/>
  <c r="C1237" i="5"/>
  <c r="C1246" i="5"/>
  <c r="C1256" i="5"/>
  <c r="C1265" i="5"/>
  <c r="C1274" i="5"/>
  <c r="C1282" i="5"/>
  <c r="C1290" i="5"/>
  <c r="C1298" i="5"/>
  <c r="C1117" i="5"/>
  <c r="C1142" i="5"/>
  <c r="C1168" i="5"/>
  <c r="C1193" i="5"/>
  <c r="C1218" i="5"/>
  <c r="C1238" i="5"/>
  <c r="C1257" i="5"/>
  <c r="C1275" i="5"/>
  <c r="C1291" i="5"/>
  <c r="C1118" i="5"/>
  <c r="C1144" i="5"/>
  <c r="C1169" i="5"/>
  <c r="C1194" i="5"/>
  <c r="C1221" i="5"/>
  <c r="C1249" i="5"/>
  <c r="C1258" i="5"/>
  <c r="C1276" i="5"/>
  <c r="C1136" i="5"/>
  <c r="C1174" i="5"/>
  <c r="C1213" i="5"/>
  <c r="C1252" i="5"/>
  <c r="C1270" i="5"/>
  <c r="C1150" i="5"/>
  <c r="C1214" i="5"/>
  <c r="C1272" i="5"/>
  <c r="N20" i="1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K8" i="2" l="1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C2413" i="5"/>
  <c r="C2661" i="5" l="1"/>
  <c r="C2517" i="5"/>
  <c r="C2686" i="5"/>
  <c r="C2509" i="5"/>
  <c r="C2654" i="5"/>
  <c r="C2717" i="5"/>
  <c r="C2646" i="5"/>
  <c r="C2445" i="5"/>
  <c r="C2716" i="5"/>
  <c r="C2605" i="5"/>
  <c r="C2437" i="5"/>
  <c r="C2710" i="5"/>
  <c r="C2589" i="5"/>
  <c r="C2693" i="5"/>
  <c r="C2581" i="5"/>
  <c r="C2692" i="5"/>
  <c r="C2525" i="5"/>
  <c r="C2453" i="5"/>
  <c r="C2709" i="5"/>
  <c r="C2678" i="5"/>
  <c r="C2645" i="5"/>
  <c r="C2573" i="5"/>
  <c r="C2501" i="5"/>
  <c r="C2429" i="5"/>
  <c r="C2724" i="5"/>
  <c r="C2700" i="5"/>
  <c r="C2669" i="5"/>
  <c r="C2621" i="5"/>
  <c r="C2549" i="5"/>
  <c r="C2477" i="5"/>
  <c r="C2718" i="5"/>
  <c r="C2694" i="5"/>
  <c r="C2662" i="5"/>
  <c r="C2613" i="5"/>
  <c r="C2541" i="5"/>
  <c r="C2461" i="5"/>
  <c r="C2702" i="5"/>
  <c r="C2677" i="5"/>
  <c r="C2637" i="5"/>
  <c r="C2565" i="5"/>
  <c r="C2493" i="5"/>
  <c r="C2421" i="5"/>
  <c r="C2725" i="5"/>
  <c r="C2701" i="5"/>
  <c r="C2670" i="5"/>
  <c r="C2629" i="5"/>
  <c r="C2557" i="5"/>
  <c r="C2485" i="5"/>
  <c r="C1303" i="5"/>
  <c r="C1311" i="5"/>
  <c r="C1319" i="5"/>
  <c r="C1327" i="5"/>
  <c r="C1335" i="5"/>
  <c r="C1343" i="5"/>
  <c r="C1351" i="5"/>
  <c r="C1359" i="5"/>
  <c r="C1367" i="5"/>
  <c r="C1375" i="5"/>
  <c r="C1383" i="5"/>
  <c r="C1391" i="5"/>
  <c r="C1399" i="5"/>
  <c r="C1407" i="5"/>
  <c r="C1415" i="5"/>
  <c r="C1423" i="5"/>
  <c r="C1431" i="5"/>
  <c r="C1439" i="5"/>
  <c r="C1447" i="5"/>
  <c r="C1455" i="5"/>
  <c r="C1463" i="5"/>
  <c r="C1471" i="5"/>
  <c r="C1479" i="5"/>
  <c r="C1487" i="5"/>
  <c r="C1495" i="5"/>
  <c r="C1503" i="5"/>
  <c r="C1511" i="5"/>
  <c r="C1519" i="5"/>
  <c r="C1527" i="5"/>
  <c r="C1535" i="5"/>
  <c r="C1543" i="5"/>
  <c r="C1551" i="5"/>
  <c r="C1559" i="5"/>
  <c r="C1567" i="5"/>
  <c r="C1575" i="5"/>
  <c r="C1583" i="5"/>
  <c r="C1591" i="5"/>
  <c r="C1599" i="5"/>
  <c r="C1607" i="5"/>
  <c r="C1615" i="5"/>
  <c r="C1623" i="5"/>
  <c r="C1631" i="5"/>
  <c r="C1639" i="5"/>
  <c r="C1647" i="5"/>
  <c r="C1655" i="5"/>
  <c r="C1663" i="5"/>
  <c r="C1671" i="5"/>
  <c r="C1679" i="5"/>
  <c r="C1687" i="5"/>
  <c r="C1695" i="5"/>
  <c r="C1703" i="5"/>
  <c r="C1711" i="5"/>
  <c r="C1719" i="5"/>
  <c r="C1727" i="5"/>
  <c r="C1735" i="5"/>
  <c r="C1743" i="5"/>
  <c r="C1751" i="5"/>
  <c r="C1759" i="5"/>
  <c r="C1767" i="5"/>
  <c r="C1775" i="5"/>
  <c r="C1783" i="5"/>
  <c r="C1791" i="5"/>
  <c r="C1799" i="5"/>
  <c r="C1807" i="5"/>
  <c r="C1301" i="5"/>
  <c r="C1309" i="5"/>
  <c r="C1317" i="5"/>
  <c r="C1325" i="5"/>
  <c r="C1333" i="5"/>
  <c r="C1341" i="5"/>
  <c r="C1349" i="5"/>
  <c r="C1357" i="5"/>
  <c r="C1365" i="5"/>
  <c r="C1373" i="5"/>
  <c r="C1381" i="5"/>
  <c r="C1389" i="5"/>
  <c r="C1397" i="5"/>
  <c r="C1405" i="5"/>
  <c r="C1413" i="5"/>
  <c r="C1421" i="5"/>
  <c r="C1429" i="5"/>
  <c r="C1437" i="5"/>
  <c r="C1445" i="5"/>
  <c r="C1453" i="5"/>
  <c r="C1461" i="5"/>
  <c r="C1469" i="5"/>
  <c r="C1477" i="5"/>
  <c r="C1485" i="5"/>
  <c r="C1493" i="5"/>
  <c r="C1501" i="5"/>
  <c r="C1509" i="5"/>
  <c r="C1517" i="5"/>
  <c r="C1525" i="5"/>
  <c r="C1533" i="5"/>
  <c r="C1541" i="5"/>
  <c r="C1549" i="5"/>
  <c r="C1557" i="5"/>
  <c r="C1565" i="5"/>
  <c r="C1573" i="5"/>
  <c r="C1581" i="5"/>
  <c r="C1589" i="5"/>
  <c r="C1597" i="5"/>
  <c r="C1605" i="5"/>
  <c r="C1613" i="5"/>
  <c r="C1621" i="5"/>
  <c r="C1629" i="5"/>
  <c r="C1637" i="5"/>
  <c r="C1645" i="5"/>
  <c r="C1653" i="5"/>
  <c r="C1661" i="5"/>
  <c r="C1669" i="5"/>
  <c r="C1677" i="5"/>
  <c r="C1685" i="5"/>
  <c r="C1693" i="5"/>
  <c r="C1701" i="5"/>
  <c r="C1709" i="5"/>
  <c r="C1717" i="5"/>
  <c r="C1725" i="5"/>
  <c r="C1733" i="5"/>
  <c r="C1741" i="5"/>
  <c r="C1749" i="5"/>
  <c r="C1757" i="5"/>
  <c r="C1765" i="5"/>
  <c r="C1773" i="5"/>
  <c r="C1781" i="5"/>
  <c r="C1789" i="5"/>
  <c r="C1797" i="5"/>
  <c r="C1805" i="5"/>
  <c r="C1308" i="5"/>
  <c r="C1320" i="5"/>
  <c r="C1330" i="5"/>
  <c r="C1340" i="5"/>
  <c r="C1352" i="5"/>
  <c r="C1362" i="5"/>
  <c r="C1372" i="5"/>
  <c r="C1384" i="5"/>
  <c r="C1394" i="5"/>
  <c r="C1404" i="5"/>
  <c r="C1416" i="5"/>
  <c r="C1426" i="5"/>
  <c r="C1436" i="5"/>
  <c r="C1448" i="5"/>
  <c r="C1458" i="5"/>
  <c r="C1468" i="5"/>
  <c r="C1480" i="5"/>
  <c r="C1490" i="5"/>
  <c r="C1500" i="5"/>
  <c r="C1512" i="5"/>
  <c r="C1522" i="5"/>
  <c r="C1532" i="5"/>
  <c r="C1544" i="5"/>
  <c r="C1554" i="5"/>
  <c r="C1564" i="5"/>
  <c r="C1576" i="5"/>
  <c r="C1586" i="5"/>
  <c r="C1596" i="5"/>
  <c r="C1608" i="5"/>
  <c r="C1618" i="5"/>
  <c r="C1628" i="5"/>
  <c r="C1640" i="5"/>
  <c r="C1650" i="5"/>
  <c r="C1660" i="5"/>
  <c r="C1672" i="5"/>
  <c r="C1682" i="5"/>
  <c r="C1692" i="5"/>
  <c r="C1704" i="5"/>
  <c r="C1714" i="5"/>
  <c r="C1724" i="5"/>
  <c r="C1736" i="5"/>
  <c r="C1746" i="5"/>
  <c r="C1756" i="5"/>
  <c r="C1768" i="5"/>
  <c r="C1778" i="5"/>
  <c r="C1788" i="5"/>
  <c r="C1800" i="5"/>
  <c r="C1810" i="5"/>
  <c r="C1818" i="5"/>
  <c r="C1826" i="5"/>
  <c r="C1834" i="5"/>
  <c r="C1842" i="5"/>
  <c r="C1850" i="5"/>
  <c r="C1858" i="5"/>
  <c r="C1866" i="5"/>
  <c r="C1874" i="5"/>
  <c r="C1882" i="5"/>
  <c r="C1890" i="5"/>
  <c r="C1898" i="5"/>
  <c r="C1906" i="5"/>
  <c r="C1914" i="5"/>
  <c r="C1922" i="5"/>
  <c r="C1930" i="5"/>
  <c r="C1938" i="5"/>
  <c r="C1946" i="5"/>
  <c r="C1954" i="5"/>
  <c r="C1962" i="5"/>
  <c r="C1970" i="5"/>
  <c r="C1978" i="5"/>
  <c r="C1986" i="5"/>
  <c r="C1994" i="5"/>
  <c r="C2002" i="5"/>
  <c r="C2010" i="5"/>
  <c r="C2018" i="5"/>
  <c r="C2026" i="5"/>
  <c r="C2034" i="5"/>
  <c r="C2042" i="5"/>
  <c r="C2050" i="5"/>
  <c r="C2058" i="5"/>
  <c r="C2066" i="5"/>
  <c r="C2074" i="5"/>
  <c r="C2082" i="5"/>
  <c r="C2090" i="5"/>
  <c r="C2098" i="5"/>
  <c r="C2106" i="5"/>
  <c r="C2114" i="5"/>
  <c r="C2122" i="5"/>
  <c r="C2130" i="5"/>
  <c r="C2138" i="5"/>
  <c r="C1306" i="5"/>
  <c r="C1316" i="5"/>
  <c r="C1328" i="5"/>
  <c r="C1338" i="5"/>
  <c r="C1348" i="5"/>
  <c r="C1360" i="5"/>
  <c r="C1370" i="5"/>
  <c r="C1380" i="5"/>
  <c r="C1392" i="5"/>
  <c r="C1402" i="5"/>
  <c r="C1412" i="5"/>
  <c r="C1424" i="5"/>
  <c r="C1434" i="5"/>
  <c r="C1444" i="5"/>
  <c r="C1456" i="5"/>
  <c r="C1466" i="5"/>
  <c r="C1476" i="5"/>
  <c r="C1488" i="5"/>
  <c r="C1498" i="5"/>
  <c r="C1508" i="5"/>
  <c r="C1520" i="5"/>
  <c r="C1530" i="5"/>
  <c r="C1540" i="5"/>
  <c r="C1552" i="5"/>
  <c r="C1562" i="5"/>
  <c r="C1572" i="5"/>
  <c r="C1584" i="5"/>
  <c r="C1594" i="5"/>
  <c r="C1604" i="5"/>
  <c r="C1616" i="5"/>
  <c r="C1626" i="5"/>
  <c r="C1636" i="5"/>
  <c r="C1648" i="5"/>
  <c r="C1658" i="5"/>
  <c r="C1668" i="5"/>
  <c r="C1680" i="5"/>
  <c r="C1690" i="5"/>
  <c r="C1700" i="5"/>
  <c r="C1712" i="5"/>
  <c r="C1722" i="5"/>
  <c r="C1732" i="5"/>
  <c r="C1744" i="5"/>
  <c r="C1754" i="5"/>
  <c r="C1764" i="5"/>
  <c r="C1776" i="5"/>
  <c r="C1786" i="5"/>
  <c r="C1796" i="5"/>
  <c r="C1808" i="5"/>
  <c r="C1816" i="5"/>
  <c r="C1824" i="5"/>
  <c r="C1832" i="5"/>
  <c r="C1840" i="5"/>
  <c r="C1848" i="5"/>
  <c r="C1856" i="5"/>
  <c r="C1864" i="5"/>
  <c r="C1872" i="5"/>
  <c r="C1880" i="5"/>
  <c r="C1888" i="5"/>
  <c r="C1896" i="5"/>
  <c r="C1904" i="5"/>
  <c r="C1912" i="5"/>
  <c r="C1920" i="5"/>
  <c r="C1928" i="5"/>
  <c r="C1936" i="5"/>
  <c r="C1944" i="5"/>
  <c r="C1952" i="5"/>
  <c r="C1960" i="5"/>
  <c r="C1968" i="5"/>
  <c r="C1976" i="5"/>
  <c r="C1984" i="5"/>
  <c r="C1992" i="5"/>
  <c r="C2000" i="5"/>
  <c r="C2008" i="5"/>
  <c r="C2016" i="5"/>
  <c r="C2024" i="5"/>
  <c r="C2032" i="5"/>
  <c r="C2040" i="5"/>
  <c r="C2048" i="5"/>
  <c r="C2056" i="5"/>
  <c r="C2064" i="5"/>
  <c r="C2072" i="5"/>
  <c r="C2080" i="5"/>
  <c r="C2088" i="5"/>
  <c r="C2096" i="5"/>
  <c r="C2104" i="5"/>
  <c r="C2112" i="5"/>
  <c r="C2120" i="5"/>
  <c r="C2128" i="5"/>
  <c r="C2136" i="5"/>
  <c r="C2144" i="5"/>
  <c r="C2152" i="5"/>
  <c r="C1307" i="5"/>
  <c r="C1322" i="5"/>
  <c r="C1336" i="5"/>
  <c r="C1350" i="5"/>
  <c r="C1364" i="5"/>
  <c r="C1378" i="5"/>
  <c r="C1393" i="5"/>
  <c r="C1408" i="5"/>
  <c r="C1420" i="5"/>
  <c r="C1435" i="5"/>
  <c r="C1450" i="5"/>
  <c r="C1464" i="5"/>
  <c r="C1478" i="5"/>
  <c r="C1492" i="5"/>
  <c r="C1506" i="5"/>
  <c r="C1521" i="5"/>
  <c r="C1536" i="5"/>
  <c r="C1548" i="5"/>
  <c r="C1563" i="5"/>
  <c r="C1578" i="5"/>
  <c r="C1592" i="5"/>
  <c r="C1606" i="5"/>
  <c r="C1620" i="5"/>
  <c r="C1634" i="5"/>
  <c r="C1649" i="5"/>
  <c r="C1664" i="5"/>
  <c r="C1676" i="5"/>
  <c r="C1691" i="5"/>
  <c r="C1706" i="5"/>
  <c r="C1720" i="5"/>
  <c r="C1734" i="5"/>
  <c r="C1748" i="5"/>
  <c r="C1762" i="5"/>
  <c r="C1777" i="5"/>
  <c r="C1792" i="5"/>
  <c r="C1804" i="5"/>
  <c r="C1310" i="5"/>
  <c r="C1323" i="5"/>
  <c r="C1337" i="5"/>
  <c r="C1353" i="5"/>
  <c r="C1366" i="5"/>
  <c r="C1379" i="5"/>
  <c r="C1395" i="5"/>
  <c r="C1409" i="5"/>
  <c r="C1422" i="5"/>
  <c r="C1438" i="5"/>
  <c r="C1451" i="5"/>
  <c r="C1465" i="5"/>
  <c r="C1481" i="5"/>
  <c r="C1494" i="5"/>
  <c r="C1507" i="5"/>
  <c r="C1523" i="5"/>
  <c r="C1537" i="5"/>
  <c r="C1550" i="5"/>
  <c r="C1566" i="5"/>
  <c r="C1579" i="5"/>
  <c r="C1593" i="5"/>
  <c r="C1609" i="5"/>
  <c r="C1622" i="5"/>
  <c r="C1635" i="5"/>
  <c r="C1651" i="5"/>
  <c r="C1665" i="5"/>
  <c r="C1678" i="5"/>
  <c r="C1694" i="5"/>
  <c r="C1707" i="5"/>
  <c r="C1721" i="5"/>
  <c r="C1737" i="5"/>
  <c r="C1750" i="5"/>
  <c r="C1763" i="5"/>
  <c r="C1779" i="5"/>
  <c r="C1793" i="5"/>
  <c r="C1806" i="5"/>
  <c r="C1819" i="5"/>
  <c r="C1829" i="5"/>
  <c r="C1839" i="5"/>
  <c r="C1851" i="5"/>
  <c r="C1861" i="5"/>
  <c r="C1871" i="5"/>
  <c r="C1883" i="5"/>
  <c r="C1893" i="5"/>
  <c r="C1903" i="5"/>
  <c r="C1915" i="5"/>
  <c r="C1925" i="5"/>
  <c r="C1935" i="5"/>
  <c r="C1947" i="5"/>
  <c r="C1957" i="5"/>
  <c r="C1967" i="5"/>
  <c r="C1979" i="5"/>
  <c r="C1989" i="5"/>
  <c r="C1999" i="5"/>
  <c r="C2011" i="5"/>
  <c r="C2021" i="5"/>
  <c r="C2031" i="5"/>
  <c r="C2043" i="5"/>
  <c r="C2053" i="5"/>
  <c r="C2063" i="5"/>
  <c r="C2075" i="5"/>
  <c r="C2085" i="5"/>
  <c r="C2095" i="5"/>
  <c r="C2107" i="5"/>
  <c r="C1312" i="5"/>
  <c r="C1324" i="5"/>
  <c r="C1339" i="5"/>
  <c r="C1354" i="5"/>
  <c r="C1368" i="5"/>
  <c r="C1382" i="5"/>
  <c r="C1396" i="5"/>
  <c r="C1410" i="5"/>
  <c r="C1425" i="5"/>
  <c r="C1440" i="5"/>
  <c r="C1452" i="5"/>
  <c r="C1467" i="5"/>
  <c r="C1482" i="5"/>
  <c r="C1496" i="5"/>
  <c r="C1510" i="5"/>
  <c r="C1524" i="5"/>
  <c r="C1538" i="5"/>
  <c r="C1553" i="5"/>
  <c r="C1568" i="5"/>
  <c r="C1580" i="5"/>
  <c r="C1595" i="5"/>
  <c r="C1610" i="5"/>
  <c r="C1624" i="5"/>
  <c r="C1638" i="5"/>
  <c r="C1652" i="5"/>
  <c r="C1666" i="5"/>
  <c r="C1681" i="5"/>
  <c r="C1696" i="5"/>
  <c r="C1708" i="5"/>
  <c r="C1723" i="5"/>
  <c r="C1738" i="5"/>
  <c r="C1752" i="5"/>
  <c r="C1313" i="5"/>
  <c r="C1326" i="5"/>
  <c r="C1342" i="5"/>
  <c r="C1355" i="5"/>
  <c r="C1369" i="5"/>
  <c r="C1385" i="5"/>
  <c r="C1398" i="5"/>
  <c r="C1411" i="5"/>
  <c r="C1427" i="5"/>
  <c r="C1441" i="5"/>
  <c r="C1454" i="5"/>
  <c r="C1470" i="5"/>
  <c r="C1483" i="5"/>
  <c r="C1497" i="5"/>
  <c r="C1513" i="5"/>
  <c r="C1526" i="5"/>
  <c r="C1539" i="5"/>
  <c r="C1555" i="5"/>
  <c r="C1569" i="5"/>
  <c r="C1582" i="5"/>
  <c r="C1598" i="5"/>
  <c r="C1611" i="5"/>
  <c r="C1625" i="5"/>
  <c r="C1641" i="5"/>
  <c r="C1654" i="5"/>
  <c r="C1667" i="5"/>
  <c r="C1683" i="5"/>
  <c r="C1697" i="5"/>
  <c r="C1710" i="5"/>
  <c r="C1726" i="5"/>
  <c r="C1739" i="5"/>
  <c r="C1753" i="5"/>
  <c r="C1769" i="5"/>
  <c r="C1782" i="5"/>
  <c r="C1795" i="5"/>
  <c r="C1811" i="5"/>
  <c r="C1300" i="5"/>
  <c r="C1314" i="5"/>
  <c r="C1329" i="5"/>
  <c r="C1344" i="5"/>
  <c r="C1356" i="5"/>
  <c r="C1371" i="5"/>
  <c r="C1386" i="5"/>
  <c r="C1400" i="5"/>
  <c r="C1414" i="5"/>
  <c r="C1428" i="5"/>
  <c r="C1442" i="5"/>
  <c r="C1457" i="5"/>
  <c r="C1472" i="5"/>
  <c r="C1484" i="5"/>
  <c r="C1499" i="5"/>
  <c r="C1514" i="5"/>
  <c r="C1528" i="5"/>
  <c r="C1542" i="5"/>
  <c r="C1556" i="5"/>
  <c r="C1570" i="5"/>
  <c r="C1585" i="5"/>
  <c r="C1600" i="5"/>
  <c r="C1612" i="5"/>
  <c r="C1627" i="5"/>
  <c r="C1642" i="5"/>
  <c r="C1656" i="5"/>
  <c r="C1670" i="5"/>
  <c r="C1684" i="5"/>
  <c r="C1698" i="5"/>
  <c r="C1713" i="5"/>
  <c r="C1728" i="5"/>
  <c r="C1740" i="5"/>
  <c r="C1755" i="5"/>
  <c r="C1770" i="5"/>
  <c r="C1784" i="5"/>
  <c r="C1798" i="5"/>
  <c r="C1812" i="5"/>
  <c r="C1302" i="5"/>
  <c r="C1315" i="5"/>
  <c r="C1331" i="5"/>
  <c r="C1345" i="5"/>
  <c r="C1358" i="5"/>
  <c r="C1374" i="5"/>
  <c r="C1387" i="5"/>
  <c r="C1401" i="5"/>
  <c r="C1417" i="5"/>
  <c r="C1430" i="5"/>
  <c r="C1443" i="5"/>
  <c r="C1459" i="5"/>
  <c r="C1473" i="5"/>
  <c r="C1486" i="5"/>
  <c r="C1502" i="5"/>
  <c r="C1515" i="5"/>
  <c r="C1529" i="5"/>
  <c r="C1545" i="5"/>
  <c r="C1558" i="5"/>
  <c r="C1571" i="5"/>
  <c r="C1587" i="5"/>
  <c r="C1601" i="5"/>
  <c r="C1614" i="5"/>
  <c r="C1630" i="5"/>
  <c r="C1643" i="5"/>
  <c r="C1657" i="5"/>
  <c r="C1673" i="5"/>
  <c r="C1686" i="5"/>
  <c r="C1699" i="5"/>
  <c r="C1715" i="5"/>
  <c r="C1729" i="5"/>
  <c r="C1742" i="5"/>
  <c r="C1304" i="5"/>
  <c r="C1318" i="5"/>
  <c r="C1332" i="5"/>
  <c r="C1346" i="5"/>
  <c r="C1361" i="5"/>
  <c r="C1376" i="5"/>
  <c r="C1388" i="5"/>
  <c r="C1403" i="5"/>
  <c r="C1418" i="5"/>
  <c r="C1432" i="5"/>
  <c r="C1446" i="5"/>
  <c r="C1460" i="5"/>
  <c r="C1474" i="5"/>
  <c r="C1489" i="5"/>
  <c r="C1504" i="5"/>
  <c r="C1516" i="5"/>
  <c r="C1531" i="5"/>
  <c r="C1546" i="5"/>
  <c r="C1560" i="5"/>
  <c r="C1574" i="5"/>
  <c r="C1588" i="5"/>
  <c r="C1602" i="5"/>
  <c r="C1617" i="5"/>
  <c r="C1632" i="5"/>
  <c r="C1644" i="5"/>
  <c r="C1659" i="5"/>
  <c r="C1674" i="5"/>
  <c r="C1688" i="5"/>
  <c r="C1702" i="5"/>
  <c r="C1716" i="5"/>
  <c r="C1730" i="5"/>
  <c r="C1745" i="5"/>
  <c r="C1760" i="5"/>
  <c r="C1772" i="5"/>
  <c r="C1787" i="5"/>
  <c r="C1802" i="5"/>
  <c r="C1814" i="5"/>
  <c r="C1305" i="5"/>
  <c r="C1321" i="5"/>
  <c r="C1334" i="5"/>
  <c r="C1347" i="5"/>
  <c r="C1363" i="5"/>
  <c r="C1377" i="5"/>
  <c r="C1390" i="5"/>
  <c r="C1406" i="5"/>
  <c r="C1419" i="5"/>
  <c r="C1433" i="5"/>
  <c r="C1449" i="5"/>
  <c r="C1462" i="5"/>
  <c r="C1475" i="5"/>
  <c r="C1491" i="5"/>
  <c r="C1505" i="5"/>
  <c r="C1518" i="5"/>
  <c r="C1534" i="5"/>
  <c r="C1547" i="5"/>
  <c r="C1561" i="5"/>
  <c r="C1577" i="5"/>
  <c r="C1590" i="5"/>
  <c r="C1603" i="5"/>
  <c r="C1619" i="5"/>
  <c r="C1633" i="5"/>
  <c r="C1646" i="5"/>
  <c r="C1662" i="5"/>
  <c r="C1675" i="5"/>
  <c r="C1689" i="5"/>
  <c r="C1705" i="5"/>
  <c r="C1718" i="5"/>
  <c r="C1731" i="5"/>
  <c r="C1747" i="5"/>
  <c r="C1761" i="5"/>
  <c r="C1774" i="5"/>
  <c r="C1790" i="5"/>
  <c r="C1803" i="5"/>
  <c r="C1815" i="5"/>
  <c r="C1827" i="5"/>
  <c r="C1837" i="5"/>
  <c r="C1847" i="5"/>
  <c r="C1859" i="5"/>
  <c r="C1869" i="5"/>
  <c r="C1879" i="5"/>
  <c r="C1891" i="5"/>
  <c r="C1901" i="5"/>
  <c r="C1911" i="5"/>
  <c r="C1923" i="5"/>
  <c r="C1933" i="5"/>
  <c r="C1943" i="5"/>
  <c r="C1955" i="5"/>
  <c r="C1965" i="5"/>
  <c r="C1975" i="5"/>
  <c r="C1987" i="5"/>
  <c r="C1997" i="5"/>
  <c r="C2007" i="5"/>
  <c r="C2019" i="5"/>
  <c r="C2029" i="5"/>
  <c r="C2039" i="5"/>
  <c r="C2051" i="5"/>
  <c r="C2061" i="5"/>
  <c r="C2071" i="5"/>
  <c r="C2083" i="5"/>
  <c r="C2093" i="5"/>
  <c r="C2103" i="5"/>
  <c r="C2115" i="5"/>
  <c r="C2125" i="5"/>
  <c r="C2135" i="5"/>
  <c r="C2146" i="5"/>
  <c r="C2155" i="5"/>
  <c r="C2163" i="5"/>
  <c r="C2171" i="5"/>
  <c r="C2179" i="5"/>
  <c r="C2187" i="5"/>
  <c r="C2195" i="5"/>
  <c r="C2203" i="5"/>
  <c r="C2211" i="5"/>
  <c r="C2219" i="5"/>
  <c r="C2227" i="5"/>
  <c r="C2520" i="5"/>
  <c r="C2688" i="5"/>
  <c r="C2659" i="5"/>
  <c r="C2715" i="5"/>
  <c r="C2252" i="5"/>
  <c r="C2396" i="5"/>
  <c r="C2476" i="5"/>
  <c r="C2524" i="5"/>
  <c r="C2572" i="5"/>
  <c r="C2612" i="5"/>
  <c r="C2668" i="5"/>
  <c r="C1766" i="5"/>
  <c r="C1817" i="5"/>
  <c r="C1831" i="5"/>
  <c r="C1845" i="5"/>
  <c r="C1860" i="5"/>
  <c r="C1875" i="5"/>
  <c r="C1887" i="5"/>
  <c r="C1902" i="5"/>
  <c r="C1917" i="5"/>
  <c r="C1931" i="5"/>
  <c r="C1945" i="5"/>
  <c r="C1959" i="5"/>
  <c r="C1973" i="5"/>
  <c r="C1988" i="5"/>
  <c r="C2003" i="5"/>
  <c r="C2015" i="5"/>
  <c r="C2030" i="5"/>
  <c r="C2045" i="5"/>
  <c r="C2059" i="5"/>
  <c r="C2073" i="5"/>
  <c r="C2087" i="5"/>
  <c r="C2101" i="5"/>
  <c r="C2116" i="5"/>
  <c r="C2127" i="5"/>
  <c r="C2140" i="5"/>
  <c r="C2150" i="5"/>
  <c r="C2160" i="5"/>
  <c r="C2169" i="5"/>
  <c r="C2178" i="5"/>
  <c r="C2188" i="5"/>
  <c r="C2197" i="5"/>
  <c r="C2206" i="5"/>
  <c r="C2215" i="5"/>
  <c r="C2224" i="5"/>
  <c r="C2233" i="5"/>
  <c r="C2241" i="5"/>
  <c r="C2249" i="5"/>
  <c r="C2257" i="5"/>
  <c r="C2265" i="5"/>
  <c r="C2273" i="5"/>
  <c r="C2281" i="5"/>
  <c r="C2289" i="5"/>
  <c r="C2297" i="5"/>
  <c r="C2305" i="5"/>
  <c r="C2313" i="5"/>
  <c r="C2321" i="5"/>
  <c r="C2329" i="5"/>
  <c r="C2337" i="5"/>
  <c r="C2345" i="5"/>
  <c r="C2353" i="5"/>
  <c r="C2361" i="5"/>
  <c r="C2369" i="5"/>
  <c r="C2377" i="5"/>
  <c r="C2385" i="5"/>
  <c r="C2393" i="5"/>
  <c r="C2401" i="5"/>
  <c r="C2409" i="5"/>
  <c r="C2417" i="5"/>
  <c r="C2425" i="5"/>
  <c r="C2433" i="5"/>
  <c r="C2441" i="5"/>
  <c r="C2449" i="5"/>
  <c r="C2457" i="5"/>
  <c r="C2465" i="5"/>
  <c r="C2473" i="5"/>
  <c r="C2481" i="5"/>
  <c r="C2489" i="5"/>
  <c r="C2497" i="5"/>
  <c r="C2505" i="5"/>
  <c r="C2513" i="5"/>
  <c r="C2521" i="5"/>
  <c r="C2529" i="5"/>
  <c r="C2537" i="5"/>
  <c r="C2545" i="5"/>
  <c r="C2553" i="5"/>
  <c r="C2561" i="5"/>
  <c r="C2569" i="5"/>
  <c r="C2577" i="5"/>
  <c r="C2585" i="5"/>
  <c r="C2593" i="5"/>
  <c r="C2601" i="5"/>
  <c r="C2609" i="5"/>
  <c r="C2617" i="5"/>
  <c r="C2625" i="5"/>
  <c r="C2633" i="5"/>
  <c r="C2641" i="5"/>
  <c r="C2649" i="5"/>
  <c r="C2657" i="5"/>
  <c r="C2665" i="5"/>
  <c r="C2673" i="5"/>
  <c r="C2681" i="5"/>
  <c r="C2689" i="5"/>
  <c r="C2697" i="5"/>
  <c r="C2705" i="5"/>
  <c r="C2713" i="5"/>
  <c r="C2721" i="5"/>
  <c r="C1771" i="5"/>
  <c r="C1820" i="5"/>
  <c r="C1833" i="5"/>
  <c r="C1846" i="5"/>
  <c r="C1862" i="5"/>
  <c r="C1876" i="5"/>
  <c r="C1889" i="5"/>
  <c r="C1905" i="5"/>
  <c r="C1918" i="5"/>
  <c r="C1932" i="5"/>
  <c r="C1948" i="5"/>
  <c r="C1961" i="5"/>
  <c r="C1974" i="5"/>
  <c r="C1990" i="5"/>
  <c r="C2004" i="5"/>
  <c r="C2017" i="5"/>
  <c r="C2033" i="5"/>
  <c r="C2046" i="5"/>
  <c r="C2060" i="5"/>
  <c r="C2076" i="5"/>
  <c r="C2089" i="5"/>
  <c r="C2102" i="5"/>
  <c r="C2117" i="5"/>
  <c r="C2129" i="5"/>
  <c r="C2141" i="5"/>
  <c r="C2151" i="5"/>
  <c r="C2161" i="5"/>
  <c r="C2170" i="5"/>
  <c r="C2180" i="5"/>
  <c r="C2189" i="5"/>
  <c r="C2198" i="5"/>
  <c r="C2207" i="5"/>
  <c r="C2216" i="5"/>
  <c r="C2225" i="5"/>
  <c r="C2234" i="5"/>
  <c r="C2242" i="5"/>
  <c r="C2250" i="5"/>
  <c r="C2258" i="5"/>
  <c r="C2266" i="5"/>
  <c r="C2274" i="5"/>
  <c r="C2282" i="5"/>
  <c r="C2290" i="5"/>
  <c r="C2298" i="5"/>
  <c r="C2306" i="5"/>
  <c r="C2314" i="5"/>
  <c r="C2322" i="5"/>
  <c r="C2330" i="5"/>
  <c r="C2338" i="5"/>
  <c r="C2346" i="5"/>
  <c r="C2354" i="5"/>
  <c r="C2362" i="5"/>
  <c r="C2370" i="5"/>
  <c r="C2378" i="5"/>
  <c r="C2386" i="5"/>
  <c r="C2394" i="5"/>
  <c r="C2402" i="5"/>
  <c r="C2410" i="5"/>
  <c r="C2418" i="5"/>
  <c r="C2426" i="5"/>
  <c r="C2434" i="5"/>
  <c r="C2442" i="5"/>
  <c r="C2450" i="5"/>
  <c r="C2458" i="5"/>
  <c r="C2466" i="5"/>
  <c r="C2474" i="5"/>
  <c r="C2482" i="5"/>
  <c r="C2490" i="5"/>
  <c r="C2498" i="5"/>
  <c r="C2506" i="5"/>
  <c r="C2514" i="5"/>
  <c r="C2522" i="5"/>
  <c r="C2530" i="5"/>
  <c r="C2546" i="5"/>
  <c r="C2554" i="5"/>
  <c r="C2562" i="5"/>
  <c r="C2570" i="5"/>
  <c r="C2578" i="5"/>
  <c r="C2586" i="5"/>
  <c r="C2594" i="5"/>
  <c r="C2602" i="5"/>
  <c r="C2610" i="5"/>
  <c r="C2618" i="5"/>
  <c r="C2626" i="5"/>
  <c r="C2634" i="5"/>
  <c r="C2642" i="5"/>
  <c r="C2650" i="5"/>
  <c r="C2658" i="5"/>
  <c r="C2666" i="5"/>
  <c r="C2674" i="5"/>
  <c r="C2682" i="5"/>
  <c r="C2690" i="5"/>
  <c r="C2698" i="5"/>
  <c r="C2706" i="5"/>
  <c r="C2714" i="5"/>
  <c r="C2722" i="5"/>
  <c r="C2243" i="5"/>
  <c r="C2299" i="5"/>
  <c r="C2315" i="5"/>
  <c r="C2339" i="5"/>
  <c r="C2355" i="5"/>
  <c r="C2363" i="5"/>
  <c r="C2387" i="5"/>
  <c r="C2411" i="5"/>
  <c r="C2427" i="5"/>
  <c r="C2459" i="5"/>
  <c r="C2491" i="5"/>
  <c r="C2523" i="5"/>
  <c r="C2555" i="5"/>
  <c r="C2579" i="5"/>
  <c r="C2603" i="5"/>
  <c r="C2635" i="5"/>
  <c r="C2675" i="5"/>
  <c r="C2707" i="5"/>
  <c r="C2228" i="5"/>
  <c r="C2300" i="5"/>
  <c r="C2324" i="5"/>
  <c r="C2348" i="5"/>
  <c r="C2380" i="5"/>
  <c r="C2428" i="5"/>
  <c r="C2468" i="5"/>
  <c r="C2516" i="5"/>
  <c r="C2556" i="5"/>
  <c r="C2596" i="5"/>
  <c r="C2636" i="5"/>
  <c r="C2684" i="5"/>
  <c r="C2538" i="5"/>
  <c r="C2283" i="5"/>
  <c r="C2379" i="5"/>
  <c r="C2419" i="5"/>
  <c r="C2451" i="5"/>
  <c r="C2483" i="5"/>
  <c r="C2515" i="5"/>
  <c r="C2539" i="5"/>
  <c r="C2571" i="5"/>
  <c r="C2611" i="5"/>
  <c r="C2651" i="5"/>
  <c r="C2691" i="5"/>
  <c r="C2244" i="5"/>
  <c r="C2316" i="5"/>
  <c r="C2364" i="5"/>
  <c r="C2404" i="5"/>
  <c r="C2436" i="5"/>
  <c r="C2484" i="5"/>
  <c r="C2532" i="5"/>
  <c r="C2580" i="5"/>
  <c r="C2620" i="5"/>
  <c r="C2660" i="5"/>
  <c r="C1780" i="5"/>
  <c r="C1821" i="5"/>
  <c r="C1835" i="5"/>
  <c r="C1849" i="5"/>
  <c r="C1863" i="5"/>
  <c r="C1877" i="5"/>
  <c r="C1892" i="5"/>
  <c r="C1907" i="5"/>
  <c r="C1919" i="5"/>
  <c r="C1934" i="5"/>
  <c r="C1949" i="5"/>
  <c r="C1963" i="5"/>
  <c r="C1977" i="5"/>
  <c r="C1991" i="5"/>
  <c r="C2005" i="5"/>
  <c r="C2020" i="5"/>
  <c r="C2035" i="5"/>
  <c r="C2047" i="5"/>
  <c r="C2062" i="5"/>
  <c r="C2077" i="5"/>
  <c r="C2091" i="5"/>
  <c r="C2105" i="5"/>
  <c r="C2118" i="5"/>
  <c r="C2131" i="5"/>
  <c r="C2142" i="5"/>
  <c r="C2153" i="5"/>
  <c r="C2162" i="5"/>
  <c r="C2172" i="5"/>
  <c r="C2181" i="5"/>
  <c r="C2190" i="5"/>
  <c r="C2199" i="5"/>
  <c r="C2208" i="5"/>
  <c r="C2217" i="5"/>
  <c r="C2226" i="5"/>
  <c r="C2235" i="5"/>
  <c r="C2251" i="5"/>
  <c r="C2259" i="5"/>
  <c r="C2267" i="5"/>
  <c r="C2275" i="5"/>
  <c r="C2291" i="5"/>
  <c r="C2307" i="5"/>
  <c r="C2323" i="5"/>
  <c r="C2347" i="5"/>
  <c r="C2371" i="5"/>
  <c r="C2395" i="5"/>
  <c r="C2435" i="5"/>
  <c r="C2467" i="5"/>
  <c r="C2507" i="5"/>
  <c r="C2547" i="5"/>
  <c r="C2595" i="5"/>
  <c r="C2627" i="5"/>
  <c r="C2683" i="5"/>
  <c r="C2723" i="5"/>
  <c r="C2268" i="5"/>
  <c r="C2356" i="5"/>
  <c r="C2420" i="5"/>
  <c r="C2460" i="5"/>
  <c r="C2500" i="5"/>
  <c r="C2548" i="5"/>
  <c r="C2604" i="5"/>
  <c r="C2652" i="5"/>
  <c r="C1785" i="5"/>
  <c r="C1822" i="5"/>
  <c r="C1836" i="5"/>
  <c r="C1852" i="5"/>
  <c r="C1865" i="5"/>
  <c r="C1878" i="5"/>
  <c r="C1894" i="5"/>
  <c r="C1908" i="5"/>
  <c r="C1921" i="5"/>
  <c r="C1937" i="5"/>
  <c r="C1950" i="5"/>
  <c r="C1964" i="5"/>
  <c r="C1980" i="5"/>
  <c r="C1993" i="5"/>
  <c r="C2006" i="5"/>
  <c r="C2022" i="5"/>
  <c r="C2036" i="5"/>
  <c r="C2049" i="5"/>
  <c r="C2065" i="5"/>
  <c r="C2078" i="5"/>
  <c r="C2092" i="5"/>
  <c r="C2108" i="5"/>
  <c r="C2119" i="5"/>
  <c r="C2132" i="5"/>
  <c r="C2143" i="5"/>
  <c r="C2154" i="5"/>
  <c r="C2164" i="5"/>
  <c r="C2173" i="5"/>
  <c r="C2182" i="5"/>
  <c r="C2191" i="5"/>
  <c r="C2200" i="5"/>
  <c r="C2209" i="5"/>
  <c r="C2218" i="5"/>
  <c r="C2260" i="5"/>
  <c r="C2276" i="5"/>
  <c r="C2284" i="5"/>
  <c r="C2308" i="5"/>
  <c r="C2340" i="5"/>
  <c r="C2388" i="5"/>
  <c r="C2452" i="5"/>
  <c r="C2508" i="5"/>
  <c r="C2564" i="5"/>
  <c r="C2644" i="5"/>
  <c r="C1794" i="5"/>
  <c r="C1823" i="5"/>
  <c r="C1838" i="5"/>
  <c r="C1853" i="5"/>
  <c r="C1867" i="5"/>
  <c r="C1881" i="5"/>
  <c r="C1895" i="5"/>
  <c r="C1909" i="5"/>
  <c r="C1924" i="5"/>
  <c r="C1939" i="5"/>
  <c r="C1951" i="5"/>
  <c r="C1966" i="5"/>
  <c r="C1981" i="5"/>
  <c r="C1995" i="5"/>
  <c r="C2009" i="5"/>
  <c r="C2023" i="5"/>
  <c r="C2037" i="5"/>
  <c r="C2052" i="5"/>
  <c r="C2067" i="5"/>
  <c r="C2079" i="5"/>
  <c r="C2094" i="5"/>
  <c r="C2109" i="5"/>
  <c r="C2121" i="5"/>
  <c r="C2133" i="5"/>
  <c r="C2145" i="5"/>
  <c r="C2156" i="5"/>
  <c r="C2165" i="5"/>
  <c r="C2174" i="5"/>
  <c r="C2183" i="5"/>
  <c r="C2192" i="5"/>
  <c r="C2201" i="5"/>
  <c r="C2210" i="5"/>
  <c r="C2220" i="5"/>
  <c r="C2229" i="5"/>
  <c r="C2237" i="5"/>
  <c r="C2245" i="5"/>
  <c r="C2253" i="5"/>
  <c r="C2261" i="5"/>
  <c r="C2269" i="5"/>
  <c r="C2277" i="5"/>
  <c r="C2285" i="5"/>
  <c r="C2293" i="5"/>
  <c r="C2301" i="5"/>
  <c r="C2309" i="5"/>
  <c r="C2317" i="5"/>
  <c r="C2325" i="5"/>
  <c r="C2333" i="5"/>
  <c r="C2341" i="5"/>
  <c r="C2349" i="5"/>
  <c r="C2357" i="5"/>
  <c r="C2365" i="5"/>
  <c r="C2373" i="5"/>
  <c r="C2381" i="5"/>
  <c r="C2389" i="5"/>
  <c r="C2397" i="5"/>
  <c r="C2405" i="5"/>
  <c r="C1801" i="5"/>
  <c r="C1825" i="5"/>
  <c r="C1841" i="5"/>
  <c r="C1854" i="5"/>
  <c r="C1868" i="5"/>
  <c r="C1884" i="5"/>
  <c r="C1897" i="5"/>
  <c r="C1910" i="5"/>
  <c r="C1926" i="5"/>
  <c r="C1940" i="5"/>
  <c r="C1953" i="5"/>
  <c r="C1969" i="5"/>
  <c r="C1982" i="5"/>
  <c r="C1996" i="5"/>
  <c r="C2012" i="5"/>
  <c r="C2025" i="5"/>
  <c r="C2038" i="5"/>
  <c r="C2054" i="5"/>
  <c r="C2068" i="5"/>
  <c r="C2081" i="5"/>
  <c r="C2097" i="5"/>
  <c r="C2110" i="5"/>
  <c r="C2123" i="5"/>
  <c r="C2134" i="5"/>
  <c r="C2147" i="5"/>
  <c r="C2157" i="5"/>
  <c r="C2166" i="5"/>
  <c r="C2175" i="5"/>
  <c r="C2184" i="5"/>
  <c r="C2193" i="5"/>
  <c r="C2202" i="5"/>
  <c r="C2212" i="5"/>
  <c r="C2221" i="5"/>
  <c r="C2230" i="5"/>
  <c r="C2238" i="5"/>
  <c r="C2246" i="5"/>
  <c r="C2254" i="5"/>
  <c r="C2262" i="5"/>
  <c r="C2270" i="5"/>
  <c r="C2278" i="5"/>
  <c r="C2286" i="5"/>
  <c r="C2294" i="5"/>
  <c r="C2302" i="5"/>
  <c r="C2310" i="5"/>
  <c r="C2318" i="5"/>
  <c r="C2326" i="5"/>
  <c r="C2334" i="5"/>
  <c r="C2342" i="5"/>
  <c r="C2350" i="5"/>
  <c r="C2358" i="5"/>
  <c r="C2366" i="5"/>
  <c r="C2374" i="5"/>
  <c r="C2382" i="5"/>
  <c r="C2390" i="5"/>
  <c r="C2398" i="5"/>
  <c r="C2406" i="5"/>
  <c r="C2414" i="5"/>
  <c r="C2422" i="5"/>
  <c r="C2430" i="5"/>
  <c r="C2438" i="5"/>
  <c r="C2446" i="5"/>
  <c r="C2454" i="5"/>
  <c r="C2462" i="5"/>
  <c r="C2470" i="5"/>
  <c r="C2478" i="5"/>
  <c r="C2486" i="5"/>
  <c r="C2494" i="5"/>
  <c r="C2502" i="5"/>
  <c r="C2510" i="5"/>
  <c r="C2518" i="5"/>
  <c r="C2526" i="5"/>
  <c r="C2534" i="5"/>
  <c r="C2542" i="5"/>
  <c r="C2550" i="5"/>
  <c r="C2558" i="5"/>
  <c r="C2566" i="5"/>
  <c r="C2574" i="5"/>
  <c r="C2582" i="5"/>
  <c r="C2590" i="5"/>
  <c r="C2598" i="5"/>
  <c r="C2606" i="5"/>
  <c r="C2614" i="5"/>
  <c r="C2622" i="5"/>
  <c r="C2630" i="5"/>
  <c r="C2638" i="5"/>
  <c r="C1809" i="5"/>
  <c r="C1828" i="5"/>
  <c r="C1843" i="5"/>
  <c r="C1855" i="5"/>
  <c r="C1870" i="5"/>
  <c r="C1885" i="5"/>
  <c r="C1899" i="5"/>
  <c r="C1913" i="5"/>
  <c r="C1927" i="5"/>
  <c r="C1941" i="5"/>
  <c r="C1956" i="5"/>
  <c r="C1971" i="5"/>
  <c r="C1983" i="5"/>
  <c r="C1998" i="5"/>
  <c r="C2013" i="5"/>
  <c r="C2027" i="5"/>
  <c r="C2041" i="5"/>
  <c r="C2055" i="5"/>
  <c r="C2069" i="5"/>
  <c r="C2084" i="5"/>
  <c r="C2099" i="5"/>
  <c r="C2111" i="5"/>
  <c r="C2124" i="5"/>
  <c r="C2137" i="5"/>
  <c r="C2148" i="5"/>
  <c r="C2158" i="5"/>
  <c r="C2167" i="5"/>
  <c r="C2176" i="5"/>
  <c r="C2185" i="5"/>
  <c r="C2194" i="5"/>
  <c r="C2204" i="5"/>
  <c r="C2213" i="5"/>
  <c r="C2222" i="5"/>
  <c r="C2231" i="5"/>
  <c r="C2239" i="5"/>
  <c r="C2247" i="5"/>
  <c r="C2255" i="5"/>
  <c r="C2263" i="5"/>
  <c r="C2271" i="5"/>
  <c r="C2279" i="5"/>
  <c r="C2287" i="5"/>
  <c r="C2295" i="5"/>
  <c r="C2303" i="5"/>
  <c r="C2311" i="5"/>
  <c r="C2319" i="5"/>
  <c r="C2327" i="5"/>
  <c r="C2335" i="5"/>
  <c r="C2343" i="5"/>
  <c r="C2351" i="5"/>
  <c r="C2359" i="5"/>
  <c r="C2367" i="5"/>
  <c r="C2375" i="5"/>
  <c r="C2383" i="5"/>
  <c r="C2391" i="5"/>
  <c r="C2399" i="5"/>
  <c r="C2407" i="5"/>
  <c r="C2415" i="5"/>
  <c r="C2423" i="5"/>
  <c r="C2431" i="5"/>
  <c r="C2439" i="5"/>
  <c r="C2447" i="5"/>
  <c r="C2455" i="5"/>
  <c r="C2463" i="5"/>
  <c r="C2471" i="5"/>
  <c r="C2479" i="5"/>
  <c r="C2487" i="5"/>
  <c r="C2495" i="5"/>
  <c r="C2503" i="5"/>
  <c r="C2511" i="5"/>
  <c r="C2519" i="5"/>
  <c r="C2527" i="5"/>
  <c r="C2535" i="5"/>
  <c r="C2543" i="5"/>
  <c r="C2551" i="5"/>
  <c r="C2559" i="5"/>
  <c r="C2567" i="5"/>
  <c r="C2575" i="5"/>
  <c r="C2583" i="5"/>
  <c r="C2591" i="5"/>
  <c r="C2599" i="5"/>
  <c r="C2607" i="5"/>
  <c r="C2615" i="5"/>
  <c r="C2623" i="5"/>
  <c r="C2631" i="5"/>
  <c r="C2639" i="5"/>
  <c r="C2647" i="5"/>
  <c r="C2655" i="5"/>
  <c r="C2663" i="5"/>
  <c r="C2671" i="5"/>
  <c r="C2679" i="5"/>
  <c r="C2687" i="5"/>
  <c r="C2695" i="5"/>
  <c r="C2703" i="5"/>
  <c r="C2711" i="5"/>
  <c r="C2719" i="5"/>
  <c r="C1758" i="5"/>
  <c r="C1813" i="5"/>
  <c r="C1830" i="5"/>
  <c r="C1844" i="5"/>
  <c r="C1857" i="5"/>
  <c r="C1873" i="5"/>
  <c r="C1886" i="5"/>
  <c r="C1900" i="5"/>
  <c r="C1916" i="5"/>
  <c r="C1929" i="5"/>
  <c r="C1942" i="5"/>
  <c r="C1958" i="5"/>
  <c r="C1972" i="5"/>
  <c r="C1985" i="5"/>
  <c r="C2001" i="5"/>
  <c r="C2014" i="5"/>
  <c r="C2028" i="5"/>
  <c r="C2044" i="5"/>
  <c r="C2057" i="5"/>
  <c r="C2070" i="5"/>
  <c r="C2086" i="5"/>
  <c r="C2100" i="5"/>
  <c r="C2113" i="5"/>
  <c r="C2126" i="5"/>
  <c r="C2139" i="5"/>
  <c r="C2149" i="5"/>
  <c r="C2159" i="5"/>
  <c r="C2168" i="5"/>
  <c r="C2177" i="5"/>
  <c r="C2186" i="5"/>
  <c r="C2196" i="5"/>
  <c r="C2205" i="5"/>
  <c r="C2214" i="5"/>
  <c r="C2223" i="5"/>
  <c r="C2232" i="5"/>
  <c r="C2240" i="5"/>
  <c r="C2248" i="5"/>
  <c r="C2256" i="5"/>
  <c r="C2264" i="5"/>
  <c r="C2272" i="5"/>
  <c r="C2280" i="5"/>
  <c r="C2288" i="5"/>
  <c r="C2296" i="5"/>
  <c r="C2304" i="5"/>
  <c r="C2312" i="5"/>
  <c r="C2320" i="5"/>
  <c r="C2328" i="5"/>
  <c r="C2336" i="5"/>
  <c r="C2344" i="5"/>
  <c r="C2352" i="5"/>
  <c r="C2360" i="5"/>
  <c r="C2368" i="5"/>
  <c r="C2376" i="5"/>
  <c r="C2384" i="5"/>
  <c r="C2392" i="5"/>
  <c r="C2400" i="5"/>
  <c r="C2408" i="5"/>
  <c r="C2416" i="5"/>
  <c r="C2424" i="5"/>
  <c r="C2432" i="5"/>
  <c r="C2440" i="5"/>
  <c r="C2448" i="5"/>
  <c r="C2456" i="5"/>
  <c r="C2464" i="5"/>
  <c r="C2472" i="5"/>
  <c r="C2480" i="5"/>
  <c r="C2488" i="5"/>
  <c r="C2496" i="5"/>
  <c r="C2504" i="5"/>
  <c r="C2512" i="5"/>
  <c r="C2528" i="5"/>
  <c r="C2536" i="5"/>
  <c r="C2544" i="5"/>
  <c r="C2552" i="5"/>
  <c r="C2560" i="5"/>
  <c r="C2568" i="5"/>
  <c r="C2576" i="5"/>
  <c r="C2584" i="5"/>
  <c r="C2592" i="5"/>
  <c r="C2600" i="5"/>
  <c r="C2608" i="5"/>
  <c r="C2616" i="5"/>
  <c r="C2624" i="5"/>
  <c r="C2632" i="5"/>
  <c r="C2640" i="5"/>
  <c r="C2648" i="5"/>
  <c r="C2656" i="5"/>
  <c r="C2664" i="5"/>
  <c r="C2672" i="5"/>
  <c r="C2680" i="5"/>
  <c r="C2696" i="5"/>
  <c r="C2704" i="5"/>
  <c r="C2712" i="5"/>
  <c r="C2720" i="5"/>
  <c r="C2331" i="5"/>
  <c r="C2403" i="5"/>
  <c r="C2443" i="5"/>
  <c r="C2475" i="5"/>
  <c r="C2499" i="5"/>
  <c r="C2531" i="5"/>
  <c r="C2563" i="5"/>
  <c r="C2587" i="5"/>
  <c r="C2619" i="5"/>
  <c r="C2643" i="5"/>
  <c r="C2667" i="5"/>
  <c r="C2699" i="5"/>
  <c r="C2236" i="5"/>
  <c r="C2292" i="5"/>
  <c r="C2332" i="5"/>
  <c r="C2372" i="5"/>
  <c r="C2412" i="5"/>
  <c r="C2444" i="5"/>
  <c r="C2492" i="5"/>
  <c r="C2540" i="5"/>
  <c r="C2588" i="5"/>
  <c r="C2628" i="5"/>
  <c r="C2676" i="5"/>
  <c r="C2708" i="5"/>
  <c r="C2685" i="5"/>
  <c r="C2653" i="5"/>
  <c r="C2597" i="5"/>
  <c r="C2533" i="5"/>
  <c r="C2469" i="5"/>
  <c r="B2" i="5"/>
  <c r="B1" i="4"/>
  <c r="L8" i="2"/>
  <c r="M8" i="2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L41" i="2"/>
  <c r="M41" i="2"/>
  <c r="L42" i="2"/>
  <c r="M42" i="2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L55" i="2"/>
  <c r="M55" i="2"/>
  <c r="L56" i="2"/>
  <c r="M56" i="2"/>
  <c r="L57" i="2"/>
  <c r="M57" i="2"/>
  <c r="L58" i="2"/>
  <c r="M58" i="2"/>
  <c r="L59" i="2"/>
  <c r="M59" i="2"/>
  <c r="L60" i="2"/>
  <c r="M60" i="2"/>
  <c r="L61" i="2"/>
  <c r="M61" i="2"/>
  <c r="L62" i="2"/>
  <c r="M62" i="2"/>
  <c r="L63" i="2"/>
  <c r="M63" i="2"/>
  <c r="L64" i="2"/>
  <c r="M64" i="2"/>
  <c r="L65" i="2"/>
  <c r="M65" i="2"/>
  <c r="J9" i="4" l="1"/>
  <c r="J8" i="4"/>
  <c r="J7" i="4"/>
  <c r="J5" i="4"/>
  <c r="J6" i="4"/>
  <c r="O54" i="2"/>
  <c r="O42" i="2"/>
  <c r="V42" i="2" s="1"/>
  <c r="O36" i="2"/>
  <c r="O30" i="2"/>
  <c r="O60" i="2"/>
  <c r="V60" i="2" s="1"/>
  <c r="O24" i="2"/>
  <c r="V24" i="2" s="1"/>
  <c r="O56" i="2"/>
  <c r="V56" i="2" s="1"/>
  <c r="O44" i="2"/>
  <c r="V44" i="2" s="1"/>
  <c r="O38" i="2"/>
  <c r="V38" i="2" s="1"/>
  <c r="O46" i="2"/>
  <c r="V46" i="2" s="1"/>
  <c r="O15" i="2"/>
  <c r="V15" i="2" s="1"/>
  <c r="O47" i="2"/>
  <c r="V47" i="2" s="1"/>
  <c r="O18" i="2"/>
  <c r="V18" i="2" s="1"/>
  <c r="O41" i="2"/>
  <c r="V41" i="2" s="1"/>
  <c r="O29" i="2"/>
  <c r="V29" i="2" s="1"/>
  <c r="O23" i="2"/>
  <c r="V23" i="2" s="1"/>
  <c r="O9" i="2"/>
  <c r="V9" i="2" s="1"/>
  <c r="O53" i="2"/>
  <c r="V53" i="2" s="1"/>
  <c r="O59" i="2"/>
  <c r="V59" i="2" s="1"/>
  <c r="O17" i="2"/>
  <c r="V17" i="2" s="1"/>
  <c r="O35" i="2"/>
  <c r="V35" i="2" s="1"/>
  <c r="O11" i="2"/>
  <c r="V11" i="2" s="1"/>
  <c r="O57" i="2"/>
  <c r="V57" i="2" s="1"/>
  <c r="O51" i="2"/>
  <c r="V51" i="2" s="1"/>
  <c r="O45" i="2"/>
  <c r="V45" i="2" s="1"/>
  <c r="O39" i="2"/>
  <c r="V39" i="2" s="1"/>
  <c r="O33" i="2"/>
  <c r="V33" i="2" s="1"/>
  <c r="O27" i="2"/>
  <c r="V27" i="2" s="1"/>
  <c r="O21" i="2"/>
  <c r="V21" i="2" s="1"/>
  <c r="O63" i="2"/>
  <c r="V63" i="2" s="1"/>
  <c r="O8" i="2"/>
  <c r="V8" i="2" s="1"/>
  <c r="O32" i="2"/>
  <c r="V32" i="2" s="1"/>
  <c r="O61" i="2"/>
  <c r="V61" i="2" s="1"/>
  <c r="O55" i="2"/>
  <c r="V55" i="2" s="1"/>
  <c r="O49" i="2"/>
  <c r="V49" i="2" s="1"/>
  <c r="O43" i="2"/>
  <c r="V43" i="2" s="1"/>
  <c r="O37" i="2"/>
  <c r="V37" i="2" s="1"/>
  <c r="O31" i="2"/>
  <c r="V31" i="2" s="1"/>
  <c r="O25" i="2"/>
  <c r="V25" i="2" s="1"/>
  <c r="O19" i="2"/>
  <c r="V19" i="2" s="1"/>
  <c r="O13" i="2"/>
  <c r="V13" i="2" s="1"/>
  <c r="O14" i="2"/>
  <c r="V14" i="2" s="1"/>
  <c r="O48" i="2"/>
  <c r="V48" i="2" s="1"/>
  <c r="O12" i="2"/>
  <c r="V12" i="2" s="1"/>
  <c r="O50" i="2"/>
  <c r="V50" i="2" s="1"/>
  <c r="O20" i="2"/>
  <c r="V20" i="2" s="1"/>
  <c r="O65" i="2"/>
  <c r="V65" i="2" s="1"/>
  <c r="O64" i="2"/>
  <c r="V64" i="2" s="1"/>
  <c r="O58" i="2"/>
  <c r="V58" i="2" s="1"/>
  <c r="O52" i="2"/>
  <c r="V52" i="2" s="1"/>
  <c r="O40" i="2"/>
  <c r="V40" i="2" s="1"/>
  <c r="O34" i="2"/>
  <c r="V34" i="2" s="1"/>
  <c r="O28" i="2"/>
  <c r="V28" i="2" s="1"/>
  <c r="O22" i="2"/>
  <c r="V22" i="2" s="1"/>
  <c r="O16" i="2"/>
  <c r="V16" i="2" s="1"/>
  <c r="O10" i="2"/>
  <c r="V10" i="2" s="1"/>
  <c r="O62" i="2"/>
  <c r="V62" i="2" s="1"/>
  <c r="O26" i="2"/>
  <c r="V26" i="2" s="1"/>
  <c r="V6" i="2"/>
  <c r="V7" i="2"/>
  <c r="V36" i="2"/>
  <c r="V54" i="2"/>
  <c r="V30" i="2"/>
  <c r="B28" i="4" l="1" a="1"/>
  <c r="B28" i="4" s="1"/>
  <c r="D14" i="4" l="1"/>
  <c r="D15" i="4"/>
  <c r="D13" i="4"/>
  <c r="D12" i="4"/>
  <c r="D16" i="4"/>
  <c r="D17" i="4" l="1"/>
</calcChain>
</file>

<file path=xl/sharedStrings.xml><?xml version="1.0" encoding="utf-8"?>
<sst xmlns="http://schemas.openxmlformats.org/spreadsheetml/2006/main" count="87" uniqueCount="38">
  <si>
    <t>Num. Orden de compra</t>
  </si>
  <si>
    <t xml:space="preserve">Cilindros de Argòn </t>
  </si>
  <si>
    <t xml:space="preserve">Cilindros de Nitrogeno </t>
  </si>
  <si>
    <t>Cilindros de Aire Seco</t>
  </si>
  <si>
    <t>ENTREGA DE GASES POR MESSER</t>
  </si>
  <si>
    <t>Fecha</t>
  </si>
  <si>
    <t>FECHA</t>
  </si>
  <si>
    <t xml:space="preserve">CILINDROS PENDIENTES DE ENTREGA </t>
  </si>
  <si>
    <t>ARGON GRADO 5</t>
  </si>
  <si>
    <t>NITROGENO GRADO 5</t>
  </si>
  <si>
    <t>AIRE SECO GRADO 5</t>
  </si>
  <si>
    <t>REQUISICION DE GASES</t>
  </si>
  <si>
    <t xml:space="preserve">Cilindro de Argon </t>
  </si>
  <si>
    <t>Cilindro de Nitrogeno</t>
  </si>
  <si>
    <t xml:space="preserve">Cilindro de Aire Seco </t>
  </si>
  <si>
    <t>Cilindros totales pendientes</t>
  </si>
  <si>
    <t>ORDENES DE COMPRA</t>
  </si>
  <si>
    <t>REQUISICION DE CILINDROS</t>
  </si>
  <si>
    <t>CILINDROS PENDIENTES</t>
  </si>
  <si>
    <t>CILINDROS TOTALES PENDIENTES</t>
  </si>
  <si>
    <t xml:space="preserve">Cilindros de Argon </t>
  </si>
  <si>
    <t>CILINDROS VACIOS</t>
  </si>
  <si>
    <t>FECHA DE CORTE</t>
  </si>
  <si>
    <t>Fecha Corte</t>
  </si>
  <si>
    <t>Fecha Corte + 1 mes</t>
  </si>
  <si>
    <t>CILINDROS LLENOS</t>
  </si>
  <si>
    <t>CILINDROS ENTREGADOS POR MESSER</t>
  </si>
  <si>
    <t>CILINDROS EN USO</t>
  </si>
  <si>
    <t>Cilindros de Aire Cero</t>
  </si>
  <si>
    <t>Cilindros de Hidrogeno</t>
  </si>
  <si>
    <t>Cilindros de Hídrogeno</t>
  </si>
  <si>
    <t>Cilindros de Aire Cero.</t>
  </si>
  <si>
    <t>AIRE CERO GRADO 5</t>
  </si>
  <si>
    <t>HIDROGENO</t>
  </si>
  <si>
    <t>FECHA DE INGRESO</t>
  </si>
  <si>
    <t>NOVEDAD</t>
  </si>
  <si>
    <t>FECHA DE EXPIRACIÓN</t>
  </si>
  <si>
    <t>OC-1111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</si>
</sst>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4" borderId="0" xfId="0" applyFill="1"/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/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4" borderId="1" xfId="0" applyNumberFormat="1" applyFill="1" applyBorder="1"/>
    <xf numFmtId="14" fontId="0" fillId="4" borderId="0" xfId="0" applyNumberFormat="1" applyFill="1"/>
    <xf numFmtId="0" fontId="4" fillId="4" borderId="2" xfId="0" applyFont="1" applyFill="1" applyBorder="1" applyAlignment="1">
      <alignment horizontal="center" vertical="center" wrapText="1"/>
    </xf>
    <xf numFmtId="14" fontId="4" fillId="4" borderId="2" xfId="0" applyNumberFormat="1" applyFont="1" applyFill="1" applyBorder="1" applyAlignment="1">
      <alignment horizontal="center" vertical="center" wrapText="1"/>
    </xf>
    <xf numFmtId="14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14" fontId="6" fillId="4" borderId="2" xfId="0" applyNumberFormat="1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14" fontId="5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4" borderId="0" xfId="0" applyFont="1" applyFill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0" fillId="4" borderId="0" xfId="0" applyFill="1" applyBorder="1"/>
    <xf numFmtId="0" fontId="6" fillId="4" borderId="0" xfId="0" applyFon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14" fontId="2" fillId="4" borderId="2" xfId="0" applyNumberFormat="1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7" fillId="4" borderId="0" xfId="0" applyFont="1" applyFill="1"/>
    <xf numFmtId="0" fontId="7" fillId="4" borderId="0" xfId="0" applyFont="1" applyFill="1" applyBorder="1"/>
    <xf numFmtId="14" fontId="7" fillId="4" borderId="0" xfId="0" applyNumberFormat="1" applyFont="1" applyFill="1" applyBorder="1"/>
    <xf numFmtId="14" fontId="5" fillId="4" borderId="2" xfId="0" applyNumberFormat="1" applyFont="1" applyFill="1" applyBorder="1" applyAlignment="1">
      <alignment horizontal="center" vertical="center" wrapText="1"/>
    </xf>
    <xf numFmtId="14" fontId="4" fillId="4" borderId="7" xfId="0" applyNumberFormat="1" applyFont="1" applyFill="1" applyBorder="1" applyAlignment="1">
      <alignment horizontal="center" vertical="center" wrapText="1"/>
    </xf>
    <xf numFmtId="14" fontId="6" fillId="4" borderId="7" xfId="0" applyNumberFormat="1" applyFont="1" applyFill="1" applyBorder="1" applyAlignment="1">
      <alignment horizontal="center" vertical="center" wrapText="1"/>
    </xf>
    <xf numFmtId="14" fontId="6" fillId="4" borderId="5" xfId="0" applyNumberFormat="1" applyFont="1" applyFill="1" applyBorder="1" applyAlignment="1">
      <alignment horizontal="center" vertical="center" wrapText="1"/>
    </xf>
    <xf numFmtId="14" fontId="4" fillId="3" borderId="8" xfId="0" applyNumberFormat="1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14" fontId="0" fillId="4" borderId="0" xfId="0" applyNumberFormat="1" applyFill="1" applyBorder="1"/>
    <xf numFmtId="0" fontId="6" fillId="4" borderId="8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8" xfId="0" applyFill="1" applyBorder="1" applyAlignment="1">
      <alignment horizontal="center" vertical="center" wrapText="1"/>
    </xf>
    <xf numFmtId="0" fontId="6" fillId="4" borderId="5" xfId="0" applyNumberFormat="1" applyFont="1" applyFill="1" applyBorder="1" applyAlignment="1">
      <alignment horizontal="center" vertical="center" wrapText="1"/>
    </xf>
    <xf numFmtId="0" fontId="0" fillId="4" borderId="8" xfId="0" applyFill="1" applyBorder="1"/>
    <xf numFmtId="0" fontId="5" fillId="5" borderId="14" xfId="0" applyFont="1" applyFill="1" applyBorder="1" applyAlignment="1">
      <alignment horizontal="center" vertical="center" wrapText="1"/>
    </xf>
    <xf numFmtId="14" fontId="4" fillId="4" borderId="1" xfId="0" applyNumberFormat="1" applyFont="1" applyFill="1" applyBorder="1" applyAlignment="1">
      <alignment horizontal="center" vertical="center" wrapText="1"/>
    </xf>
    <xf numFmtId="0" fontId="10" fillId="4" borderId="0" xfId="0" applyFont="1" applyFill="1"/>
    <xf numFmtId="0" fontId="10" fillId="4" borderId="6" xfId="0" applyFont="1" applyFill="1" applyBorder="1"/>
    <xf numFmtId="0" fontId="10" fillId="4" borderId="0" xfId="0" applyFont="1" applyFill="1" applyBorder="1"/>
    <xf numFmtId="14" fontId="10" fillId="4" borderId="0" xfId="0" applyNumberFormat="1" applyFont="1" applyFill="1" applyBorder="1"/>
    <xf numFmtId="14" fontId="10" fillId="4" borderId="0" xfId="0" applyNumberFormat="1" applyFont="1" applyFill="1"/>
    <xf numFmtId="0" fontId="2" fillId="4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9" fillId="4" borderId="1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/>
    </xf>
    <xf numFmtId="14" fontId="0" fillId="4" borderId="5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4" fontId="7" fillId="4" borderId="0" xfId="0" applyNumberFormat="1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</cellXfs>
  <cellStyles count="1">
    <cellStyle name="Normal" xfId="0" builtinId="0"/>
  </cellStyles>
  <dxfs count="40">
    <dxf>
      <font>
        <b val="0"/>
        <i val="0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</font>
      <numFmt numFmtId="164" formatCode="dd/mm/yyyy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57150</xdr:rowOff>
    </xdr:from>
    <xdr:to>
      <xdr:col>2</xdr:col>
      <xdr:colOff>838200</xdr:colOff>
      <xdr:row>9</xdr:row>
      <xdr:rowOff>28575</xdr:rowOff>
    </xdr:to>
    <xdr:sp macro="[0]!Requsicion_gases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8675" y="1562100"/>
          <a:ext cx="15335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GRABAR MACRO</a:t>
          </a:r>
        </a:p>
      </xdr:txBody>
    </xdr:sp>
    <xdr:clientData/>
  </xdr:twoCellAnchor>
  <xdr:twoCellAnchor>
    <xdr:from>
      <xdr:col>4</xdr:col>
      <xdr:colOff>723900</xdr:colOff>
      <xdr:row>7</xdr:row>
      <xdr:rowOff>38100</xdr:rowOff>
    </xdr:from>
    <xdr:to>
      <xdr:col>6</xdr:col>
      <xdr:colOff>733425</xdr:colOff>
      <xdr:row>9</xdr:row>
      <xdr:rowOff>9525</xdr:rowOff>
    </xdr:to>
    <xdr:sp macro="[0]!LIMPIEZARQ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95625" y="1543050"/>
          <a:ext cx="15335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 MACRO</a:t>
          </a:r>
        </a:p>
      </xdr:txBody>
    </xdr:sp>
    <xdr:clientData/>
  </xdr:twoCellAnchor>
  <xdr:twoCellAnchor>
    <xdr:from>
      <xdr:col>10</xdr:col>
      <xdr:colOff>9525</xdr:colOff>
      <xdr:row>7</xdr:row>
      <xdr:rowOff>66675</xdr:rowOff>
    </xdr:from>
    <xdr:to>
      <xdr:col>13</xdr:col>
      <xdr:colOff>19050</xdr:colOff>
      <xdr:row>9</xdr:row>
      <xdr:rowOff>66675</xdr:rowOff>
    </xdr:to>
    <xdr:sp macro="[0]!ENTRE_CILINDROS_MESSER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953250" y="15716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GRABAR MACRO</a:t>
          </a:r>
        </a:p>
      </xdr:txBody>
    </xdr:sp>
    <xdr:clientData/>
  </xdr:twoCellAnchor>
  <xdr:twoCellAnchor>
    <xdr:from>
      <xdr:col>14</xdr:col>
      <xdr:colOff>0</xdr:colOff>
      <xdr:row>7</xdr:row>
      <xdr:rowOff>66674</xdr:rowOff>
    </xdr:from>
    <xdr:to>
      <xdr:col>16</xdr:col>
      <xdr:colOff>9525</xdr:colOff>
      <xdr:row>9</xdr:row>
      <xdr:rowOff>76199</xdr:rowOff>
    </xdr:to>
    <xdr:sp macro="[0]!LIMPIEZAENT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229725" y="1571624"/>
          <a:ext cx="15335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 MACRO</a:t>
          </a:r>
        </a:p>
      </xdr:txBody>
    </xdr:sp>
    <xdr:clientData/>
  </xdr:twoCellAnchor>
  <xdr:twoCellAnchor>
    <xdr:from>
      <xdr:col>6</xdr:col>
      <xdr:colOff>9525</xdr:colOff>
      <xdr:row>20</xdr:row>
      <xdr:rowOff>114300</xdr:rowOff>
    </xdr:from>
    <xdr:to>
      <xdr:col>7</xdr:col>
      <xdr:colOff>723900</xdr:colOff>
      <xdr:row>22</xdr:row>
      <xdr:rowOff>104775</xdr:rowOff>
    </xdr:to>
    <xdr:sp macro="[0]!CILINDROS_VACIOS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905250" y="4476750"/>
          <a:ext cx="14763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GRABAR MACRO</a:t>
          </a:r>
        </a:p>
      </xdr:txBody>
    </xdr:sp>
    <xdr:clientData/>
  </xdr:twoCellAnchor>
  <xdr:twoCellAnchor>
    <xdr:from>
      <xdr:col>8</xdr:col>
      <xdr:colOff>47625</xdr:colOff>
      <xdr:row>20</xdr:row>
      <xdr:rowOff>114300</xdr:rowOff>
    </xdr:from>
    <xdr:to>
      <xdr:col>10</xdr:col>
      <xdr:colOff>0</xdr:colOff>
      <xdr:row>22</xdr:row>
      <xdr:rowOff>104775</xdr:rowOff>
    </xdr:to>
    <xdr:sp macro="[0]!LIMPIEZAVAC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67350" y="4476750"/>
          <a:ext cx="14763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10</xdr:row>
      <xdr:rowOff>66675</xdr:rowOff>
    </xdr:from>
    <xdr:to>
      <xdr:col>9</xdr:col>
      <xdr:colOff>0</xdr:colOff>
      <xdr:row>11</xdr:row>
      <xdr:rowOff>161925</xdr:rowOff>
    </xdr:to>
    <xdr:sp macro="[0]!CORTE_CILINDRO_VACIO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53050" y="1590675"/>
          <a:ext cx="1504950" cy="2857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CORTE</a:t>
          </a:r>
        </a:p>
      </xdr:txBody>
    </xdr:sp>
    <xdr:clientData/>
  </xdr:twoCellAnchor>
  <xdr:twoCellAnchor>
    <xdr:from>
      <xdr:col>1</xdr:col>
      <xdr:colOff>0</xdr:colOff>
      <xdr:row>17</xdr:row>
      <xdr:rowOff>180975</xdr:rowOff>
    </xdr:from>
    <xdr:to>
      <xdr:col>2</xdr:col>
      <xdr:colOff>438150</xdr:colOff>
      <xdr:row>19</xdr:row>
      <xdr:rowOff>152400</xdr:rowOff>
    </xdr:to>
    <xdr:sp macro="[0]!CORRECCION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62000" y="3009900"/>
          <a:ext cx="12001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CORRECCION</a:t>
          </a:r>
        </a:p>
      </xdr:txBody>
    </xdr:sp>
    <xdr:clientData/>
  </xdr:twoCellAnchor>
  <xdr:twoCellAnchor editAs="oneCell">
    <xdr:from>
      <xdr:col>6</xdr:col>
      <xdr:colOff>695325</xdr:colOff>
      <xdr:row>13</xdr:row>
      <xdr:rowOff>12915</xdr:rowOff>
    </xdr:from>
    <xdr:to>
      <xdr:col>7</xdr:col>
      <xdr:colOff>601796</xdr:colOff>
      <xdr:row>15</xdr:row>
      <xdr:rowOff>114300</xdr:rowOff>
    </xdr:to>
    <xdr:pic macro="[0]!AgregarNovedad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371" b="6217"/>
        <a:stretch/>
      </xdr:blipFill>
      <xdr:spPr>
        <a:xfrm>
          <a:off x="5267325" y="2632290"/>
          <a:ext cx="668471" cy="57763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C5:J98" totalsRowShown="0" headerRowDxfId="39" dataDxfId="37" headerRowBorderDxfId="38" tableBorderDxfId="36">
  <autoFilter ref="C5:J98"/>
  <tableColumns count="8">
    <tableColumn id="1" name="Fecha" dataDxfId="35"/>
    <tableColumn id="2" name="Num. Orden de compra" dataDxfId="34"/>
    <tableColumn id="6" name="Cilindros de Hidrogeno" dataDxfId="33"/>
    <tableColumn id="3" name="Cilindros de Argòn " dataDxfId="32"/>
    <tableColumn id="4" name="Cilindros de Nitrogeno " dataDxfId="31"/>
    <tableColumn id="5" name="Cilindros de Aire Seco" dataDxfId="30"/>
    <tableColumn id="7" name="Cilindros de Aire Cero" dataDxfId="29"/>
    <tableColumn id="8" name="Cilindros de Hídrogeno" dataDxfId="28">
      <calculatedColumnFormula>+Tabla1[[#This Row],[Cilindros de Hidrogeno]]-(SUMIF(ENTREGACILINDROSMESSER!D:D,Tabla1[[#This Row],[Num. Orden de compra]],ENTREGACILINDROSMESSER!E:E))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K5:O89" totalsRowShown="0" headerRowDxfId="27" dataDxfId="26">
  <autoFilter ref="K5:O89"/>
  <tableColumns count="5">
    <tableColumn id="1" name="Cilindro de Argon " dataDxfId="25">
      <calculatedColumnFormula>+Tabla1[[#This Row],[Cilindros de Argòn ]]-(SUMIF(ENTREGACILINDROSMESSER!D:D,Tabla1[[#This Row],[Num. Orden de compra]],ENTREGACILINDROSMESSER!F:F))</calculatedColumnFormula>
    </tableColumn>
    <tableColumn id="2" name="Cilindro de Nitrogeno" dataDxfId="24">
      <calculatedColumnFormula>+Tabla1[[#This Row],[Cilindros de Nitrogeno ]]-(SUMIF(ENTREGACILINDROSMESSER!D:D,Tabla1[[#This Row],[Num. Orden de compra]],ENTREGACILINDROSMESSER!G:G))</calculatedColumnFormula>
    </tableColumn>
    <tableColumn id="3" name="Cilindro de Aire Seco " dataDxfId="23">
      <calculatedColumnFormula>+Tabla1[[#This Row],[Cilindros de Aire Seco]]-(SUMIF(ENTREGACILINDROSMESSER!D:D,Tabla1[[#This Row],[Num. Orden de compra]],ENTREGACILINDROSMESSER!H:H))</calculatedColumnFormula>
    </tableColumn>
    <tableColumn id="5" name="Cilindros de Aire Cero." dataDxfId="22">
      <calculatedColumnFormula>+Tabla1[[#This Row],[Cilindros de Aire Cero]]-(SUMIF(ENTREGACILINDROSMESSER!D:D,Tabla2[Num. Orden de compra],ENTREGACILINDROSMESSER!I:I))</calculatedColumnFormula>
    </tableColumn>
    <tableColumn id="4" name="Cilindros totales pendientes" dataDxfId="21">
      <calculatedColumnFormula>+SUM(J6:N6)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a2" displayName="Tabla2" ref="C5:I53" totalsRowShown="0" headerRowDxfId="20" dataDxfId="18" headerRowBorderDxfId="19" tableBorderDxfId="17">
  <autoFilter ref="C5:I53"/>
  <tableColumns count="7">
    <tableColumn id="1" name="Fecha" dataDxfId="16"/>
    <tableColumn id="2" name="Num. Orden de compra" dataDxfId="15"/>
    <tableColumn id="6" name="Cilindros de Hidrogeno" dataDxfId="14"/>
    <tableColumn id="3" name="Cilindros de Argon " dataDxfId="13"/>
    <tableColumn id="4" name="Cilindros de Nitrogeno " dataDxfId="12"/>
    <tableColumn id="5" name="Cilindros de Aire Seco" dataDxfId="11"/>
    <tableColumn id="7" name="Cilindros de Aire Cero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D6:I126" totalsRowShown="0" headerRowDxfId="9" dataDxfId="7" headerRowBorderDxfId="8" tableBorderDxfId="6">
  <autoFilter ref="D6:I126"/>
  <tableColumns count="6">
    <tableColumn id="1" name="FECHA" dataDxfId="5">
      <calculatedColumnFormula>+TODAY()</calculatedColumnFormula>
    </tableColumn>
    <tableColumn id="5" name="Cilindros de Hidrogeno" dataDxfId="4"/>
    <tableColumn id="2" name="Cilindros de Argon " dataDxfId="3"/>
    <tableColumn id="3" name="Cilindros de Nitrogeno " dataDxfId="2"/>
    <tableColumn id="6" name="Cilindros de Aire Seco" dataDxfId="1"/>
    <tableColumn id="4" name="Cilindros de Aire Ce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5:Q20"/>
  <sheetViews>
    <sheetView topLeftCell="A4" workbookViewId="0">
      <selection activeCell="H20" sqref="H20"/>
    </sheetView>
  </sheetViews>
  <sheetFormatPr baseColWidth="10" defaultRowHeight="15" x14ac:dyDescent="0.25"/>
  <cols>
    <col min="1" max="1" width="11.42578125" style="1"/>
    <col min="2" max="2" width="11.85546875" style="1" bestFit="1" customWidth="1"/>
    <col min="3" max="4" width="12.7109375" style="1" customWidth="1"/>
    <col min="5" max="6" width="11.42578125" style="1"/>
    <col min="7" max="7" width="11.42578125" style="1" customWidth="1"/>
    <col min="8" max="16384" width="11.42578125" style="1"/>
  </cols>
  <sheetData>
    <row r="5" spans="2:17" x14ac:dyDescent="0.25">
      <c r="B5" s="56" t="s">
        <v>11</v>
      </c>
      <c r="C5" s="56"/>
      <c r="D5" s="56"/>
      <c r="E5" s="56"/>
      <c r="F5" s="56"/>
      <c r="G5" s="56"/>
      <c r="H5" s="56"/>
      <c r="K5" s="56" t="s">
        <v>4</v>
      </c>
      <c r="L5" s="56"/>
      <c r="M5" s="56"/>
      <c r="N5" s="56"/>
      <c r="O5" s="56"/>
      <c r="P5" s="56"/>
      <c r="Q5" s="56"/>
    </row>
    <row r="6" spans="2:17" ht="28.5" customHeight="1" x14ac:dyDescent="0.25">
      <c r="B6" s="43" t="s">
        <v>5</v>
      </c>
      <c r="C6" s="6" t="s">
        <v>0</v>
      </c>
      <c r="D6" s="6" t="s">
        <v>29</v>
      </c>
      <c r="E6" s="6" t="s">
        <v>20</v>
      </c>
      <c r="F6" s="6" t="s">
        <v>2</v>
      </c>
      <c r="G6" s="6" t="s">
        <v>3</v>
      </c>
      <c r="H6" s="6" t="s">
        <v>28</v>
      </c>
      <c r="K6" s="43" t="s">
        <v>5</v>
      </c>
      <c r="L6" s="6" t="s">
        <v>0</v>
      </c>
      <c r="M6" s="6" t="s">
        <v>29</v>
      </c>
      <c r="N6" s="6" t="s">
        <v>20</v>
      </c>
      <c r="O6" s="6" t="s">
        <v>2</v>
      </c>
      <c r="P6" s="6" t="s">
        <v>3</v>
      </c>
      <c r="Q6" s="6" t="s">
        <v>28</v>
      </c>
    </row>
    <row r="7" spans="2:17" x14ac:dyDescent="0.25">
      <c r="B7" s="13">
        <f ca="1">+TODAY()</f>
        <v>45799</v>
      </c>
      <c r="C7" s="3"/>
      <c r="D7" s="29"/>
      <c r="E7" s="29"/>
      <c r="F7" s="29"/>
      <c r="G7" s="29"/>
      <c r="H7" s="29"/>
      <c r="K7" s="13">
        <f ca="1">+TODAY()</f>
        <v>45799</v>
      </c>
      <c r="L7" s="3"/>
      <c r="M7" s="3"/>
      <c r="N7" s="8"/>
      <c r="O7" s="8"/>
      <c r="P7" s="3"/>
      <c r="Q7" s="3"/>
    </row>
    <row r="18" spans="7:17" x14ac:dyDescent="0.25">
      <c r="G18" s="56" t="s">
        <v>21</v>
      </c>
      <c r="H18" s="56"/>
      <c r="I18" s="56"/>
      <c r="J18" s="56"/>
      <c r="K18" s="56"/>
      <c r="L18" s="56"/>
      <c r="N18" s="56" t="s">
        <v>27</v>
      </c>
      <c r="O18" s="56"/>
      <c r="P18" s="56"/>
      <c r="Q18" s="56"/>
    </row>
    <row r="19" spans="7:17" ht="45" x14ac:dyDescent="0.25">
      <c r="G19" s="7" t="s">
        <v>6</v>
      </c>
      <c r="H19" s="7" t="s">
        <v>29</v>
      </c>
      <c r="I19" s="7" t="s">
        <v>20</v>
      </c>
      <c r="J19" s="7" t="s">
        <v>2</v>
      </c>
      <c r="K19" s="7" t="s">
        <v>3</v>
      </c>
      <c r="L19" s="7" t="s">
        <v>28</v>
      </c>
      <c r="N19" s="6" t="s">
        <v>6</v>
      </c>
      <c r="O19" s="6" t="s">
        <v>1</v>
      </c>
      <c r="P19" s="6" t="s">
        <v>2</v>
      </c>
      <c r="Q19" s="6" t="s">
        <v>3</v>
      </c>
    </row>
    <row r="20" spans="7:17" x14ac:dyDescent="0.25">
      <c r="G20" s="13">
        <f ca="1">+TODAY()</f>
        <v>45799</v>
      </c>
      <c r="H20" s="29"/>
      <c r="I20" s="29"/>
      <c r="J20" s="29"/>
      <c r="K20" s="29"/>
      <c r="L20" s="29"/>
      <c r="N20" s="13">
        <f ca="1">+TODAY()</f>
        <v>45799</v>
      </c>
      <c r="O20" s="3">
        <v>2</v>
      </c>
      <c r="P20" s="3">
        <v>2</v>
      </c>
      <c r="Q20" s="3">
        <v>1</v>
      </c>
    </row>
  </sheetData>
  <mergeCells count="4">
    <mergeCell ref="N18:Q18"/>
    <mergeCell ref="B5:H5"/>
    <mergeCell ref="K5:Q5"/>
    <mergeCell ref="G18:L18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28"/>
  <sheetViews>
    <sheetView tabSelected="1" workbookViewId="0">
      <selection sqref="A1:XFD1048576"/>
    </sheetView>
  </sheetViews>
  <sheetFormatPr baseColWidth="10" defaultRowHeight="15" x14ac:dyDescent="0.25"/>
  <cols>
    <col min="1" max="16384" width="11.42578125" style="1"/>
  </cols>
  <sheetData>
    <row r="1" spans="1:17" x14ac:dyDescent="0.25">
      <c r="A1" s="10" t="s">
        <v>6</v>
      </c>
      <c r="B1" s="11">
        <f ca="1">TODAY()</f>
        <v>45799</v>
      </c>
    </row>
    <row r="2" spans="1:17" x14ac:dyDescent="0.25">
      <c r="A2" s="32">
        <v>1</v>
      </c>
    </row>
    <row r="4" spans="1:17" x14ac:dyDescent="0.25">
      <c r="B4" s="77" t="s">
        <v>7</v>
      </c>
      <c r="C4" s="78"/>
      <c r="D4" s="78"/>
      <c r="E4" s="79"/>
      <c r="H4" s="74" t="s">
        <v>21</v>
      </c>
      <c r="I4" s="75"/>
      <c r="J4" s="75"/>
      <c r="K4" s="76"/>
      <c r="N4" s="77" t="s">
        <v>25</v>
      </c>
      <c r="O4" s="78"/>
      <c r="P4" s="78"/>
      <c r="Q4" s="79"/>
    </row>
    <row r="5" spans="1:17" x14ac:dyDescent="0.25">
      <c r="B5" s="80"/>
      <c r="C5" s="81"/>
      <c r="D5" s="81"/>
      <c r="E5" s="82"/>
      <c r="H5" s="57" t="s">
        <v>33</v>
      </c>
      <c r="I5" s="57"/>
      <c r="J5" s="67">
        <f>+SUMIF('CILINDROS VACIOS'!$C:$C,1,'CILINDROS VACIOS'!$E:$E)</f>
        <v>0</v>
      </c>
      <c r="K5" s="67"/>
      <c r="N5" s="80"/>
      <c r="O5" s="81"/>
      <c r="P5" s="81"/>
      <c r="Q5" s="82"/>
    </row>
    <row r="6" spans="1:17" ht="15.75" x14ac:dyDescent="0.25">
      <c r="B6" s="68" t="s">
        <v>16</v>
      </c>
      <c r="C6" s="69"/>
      <c r="D6" s="12" t="str">
        <f t="array" ref="D6">+IFERROR(INDEX('REQUISICION DE GASES'!$D$6:$D$1638,SMALL(IF(BALANCE!$A$2='REQUISICION DE GASES'!$V$6:$V$1629,ROW('REQUISICION DE GASES'!$V$6:$V$1629)-ROW('REQUISICION DE GASES'!$V$6)+1),ROW(1:1))),"")</f>
        <v/>
      </c>
      <c r="E6" s="8" t="str">
        <f t="array" ref="E6">+IFERROR(INDEX('REQUISICION DE GASES'!$D$6:$D$1638,SMALL(IF(BALANCE!$A$2='REQUISICION DE GASES'!$V$6:$V$1629,ROW('REQUISICION DE GASES'!$V$6:$V$1629)-ROW('REQUISICION DE GASES'!$V$6)+1),ROW(7:7))),"")</f>
        <v/>
      </c>
      <c r="H6" s="57" t="s">
        <v>8</v>
      </c>
      <c r="I6" s="57"/>
      <c r="J6" s="67">
        <f>+SUMIF('CILINDROS VACIOS'!$C:$C,1,'CILINDROS VACIOS'!$F:$F)</f>
        <v>6</v>
      </c>
      <c r="K6" s="67"/>
      <c r="N6" s="57" t="s">
        <v>8</v>
      </c>
      <c r="O6" s="57"/>
      <c r="P6" s="58">
        <f>+SUM(ENTREGACILINDROSMESSER!F:F)-SUM('CILINDROS VACIOS'!F:F)</f>
        <v>15</v>
      </c>
      <c r="Q6" s="58"/>
    </row>
    <row r="7" spans="1:17" ht="15.75" x14ac:dyDescent="0.25">
      <c r="B7" s="70"/>
      <c r="C7" s="71"/>
      <c r="D7" s="29" t="str">
        <f t="array" ref="D7">+IFERROR(INDEX('REQUISICION DE GASES'!$D$6:$D$1638,SMALL(IF(BALANCE!$A$2='REQUISICION DE GASES'!$V$6:$V$1629,ROW('REQUISICION DE GASES'!$V$6:$V$1629)-ROW('REQUISICION DE GASES'!$V$6)+1),ROW(2:2))),"")</f>
        <v/>
      </c>
      <c r="E7" s="29" t="str">
        <f t="array" ref="E7">+IFERROR(INDEX('REQUISICION DE GASES'!$D$6:$D$1638,SMALL(IF(BALANCE!$A$2='REQUISICION DE GASES'!$V$6:$V$1629,ROW('REQUISICION DE GASES'!$V$6:$V$1629)-ROW('REQUISICION DE GASES'!$V$6)+1),ROW(8:8))),"")</f>
        <v/>
      </c>
      <c r="H7" s="57" t="s">
        <v>9</v>
      </c>
      <c r="I7" s="57"/>
      <c r="J7" s="67">
        <f>+SUMIF('CILINDROS VACIOS'!$C:$C,1,'CILINDROS VACIOS'!$G:$G)</f>
        <v>4</v>
      </c>
      <c r="K7" s="67"/>
      <c r="N7" s="57" t="s">
        <v>9</v>
      </c>
      <c r="O7" s="57"/>
      <c r="P7" s="58">
        <f>+SUM(ENTREGACILINDROSMESSER!G:G)-SUM('CILINDROS VACIOS'!G:G)</f>
        <v>13</v>
      </c>
      <c r="Q7" s="58"/>
    </row>
    <row r="8" spans="1:17" ht="15.75" x14ac:dyDescent="0.25">
      <c r="B8" s="70"/>
      <c r="C8" s="71"/>
      <c r="D8" s="29" t="str">
        <f t="array" ref="D8">+IFERROR(INDEX('REQUISICION DE GASES'!$D$6:$D$1638,SMALL(IF(BALANCE!$A$2='REQUISICION DE GASES'!$V$6:$V$1629,ROW('REQUISICION DE GASES'!$V$6:$V$1629)-ROW('REQUISICION DE GASES'!$V$6)+1),ROW(3:3))),"")</f>
        <v/>
      </c>
      <c r="E8" s="29" t="str">
        <f t="array" ref="E8">+IFERROR(INDEX('REQUISICION DE GASES'!$D$6:$D$1638,SMALL(IF(BALANCE!$A$2='REQUISICION DE GASES'!$V$6:$V$1629,ROW('REQUISICION DE GASES'!$V$6:$V$1629)-ROW('REQUISICION DE GASES'!$V$6)+1),ROW(9:9))),"")</f>
        <v/>
      </c>
      <c r="H8" s="57" t="s">
        <v>10</v>
      </c>
      <c r="I8" s="57"/>
      <c r="J8" s="67">
        <f>+SUMIF('CILINDROS VACIOS'!$C:$C,1,'CILINDROS VACIOS'!$H:$H)</f>
        <v>3</v>
      </c>
      <c r="K8" s="67"/>
      <c r="N8" s="57" t="s">
        <v>10</v>
      </c>
      <c r="O8" s="57"/>
      <c r="P8" s="58">
        <f>+SUM(ENTREGACILINDROSMESSER!H:H)-SUM('CILINDROS VACIOS'!H:H)</f>
        <v>6</v>
      </c>
      <c r="Q8" s="58"/>
    </row>
    <row r="9" spans="1:17" ht="15.75" x14ac:dyDescent="0.25">
      <c r="B9" s="70"/>
      <c r="C9" s="71"/>
      <c r="D9" s="29" t="str">
        <f t="array" ref="D9">+IFERROR(INDEX('REQUISICION DE GASES'!$D$6:$D$1638,SMALL(IF(BALANCE!$A$2='REQUISICION DE GASES'!$V$6:$V$1629,ROW('REQUISICION DE GASES'!$V$6:$V$1629)-ROW('REQUISICION DE GASES'!$V$6)+1),ROW(4:4))),"")</f>
        <v/>
      </c>
      <c r="E9" s="29" t="str">
        <f t="array" ref="E9">+IFERROR(INDEX('REQUISICION DE GASES'!$D$6:$D$1638,SMALL(IF(BALANCE!$A$2='REQUISICION DE GASES'!$V$6:$V$1629,ROW('REQUISICION DE GASES'!$V$6:$V$1629)-ROW('REQUISICION DE GASES'!$V$6)+1),ROW(10:10))),"")</f>
        <v/>
      </c>
      <c r="H9" s="57" t="s">
        <v>32</v>
      </c>
      <c r="I9" s="57"/>
      <c r="J9" s="67">
        <f>+SUMIF('CILINDROS VACIOS'!$C:$C,1,'CILINDROS VACIOS'!$I:$I)</f>
        <v>1</v>
      </c>
      <c r="K9" s="67"/>
      <c r="N9" s="57" t="s">
        <v>32</v>
      </c>
      <c r="O9" s="57"/>
      <c r="P9" s="58">
        <f>+SUM(ENTREGACILINDROSMESSER!I:I)-SUM('CILINDROS VACIOS'!I:I)</f>
        <v>1</v>
      </c>
      <c r="Q9" s="58"/>
    </row>
    <row r="10" spans="1:17" ht="15.75" x14ac:dyDescent="0.25">
      <c r="B10" s="70"/>
      <c r="C10" s="71"/>
      <c r="D10" s="29" t="str">
        <f t="array" ref="D10">+IFERROR(INDEX('REQUISICION DE GASES'!$D$6:$D$1638,SMALL(IF(BALANCE!$A$2='REQUISICION DE GASES'!$V$6:$V$1629,ROW('REQUISICION DE GASES'!$V$6:$V$1629)-ROW('REQUISICION DE GASES'!$V$6)+1),ROW(5:5))),"")</f>
        <v/>
      </c>
      <c r="E10" s="29" t="str">
        <f t="array" ref="E10">+IFERROR(INDEX('REQUISICION DE GASES'!$D$6:$D$1638,SMALL(IF(BALANCE!$A$2='REQUISICION DE GASES'!$V$6:$V$1629,ROW('REQUISICION DE GASES'!$V$6:$V$1629)-ROW('REQUISICION DE GASES'!$V$6)+1),ROW(11:11))),"")</f>
        <v/>
      </c>
      <c r="H10" s="57" t="s">
        <v>22</v>
      </c>
      <c r="I10" s="57"/>
      <c r="J10" s="64">
        <f ca="1">+TODAY()</f>
        <v>45799</v>
      </c>
      <c r="K10" s="65"/>
      <c r="N10" s="57" t="s">
        <v>33</v>
      </c>
      <c r="O10" s="57"/>
      <c r="P10" s="58">
        <f>+SUM(ENTREGACILINDROSMESSER!E:E)-SUM('CILINDROS VACIOS'!E:E)</f>
        <v>2</v>
      </c>
      <c r="Q10" s="58"/>
    </row>
    <row r="11" spans="1:17" x14ac:dyDescent="0.25">
      <c r="B11" s="72"/>
      <c r="C11" s="73"/>
      <c r="D11" s="29" t="str">
        <f t="array" ref="D11">+IFERROR(INDEX('REQUISICION DE GASES'!$D$6:$D$1638,SMALL(IF(BALANCE!$A$2='REQUISICION DE GASES'!$V$6:$V$1629,ROW('REQUISICION DE GASES'!$V$6:$V$1629)-ROW('REQUISICION DE GASES'!$V$6)+1),ROW(6:6))),"")</f>
        <v/>
      </c>
      <c r="E11" s="29" t="str">
        <f t="array" ref="E11">+IFERROR(INDEX('REQUISICION DE GASES'!$D$6:$D$1638,SMALL(IF(BALANCE!$A$2='REQUISICION DE GASES'!$V$6:$V$1629,ROW('REQUISICION DE GASES'!$V$6:$V$1629)-ROW('REQUISICION DE GASES'!$V$6)+1),ROW(12:12))),"")</f>
        <v/>
      </c>
    </row>
    <row r="12" spans="1:17" ht="18.75" x14ac:dyDescent="0.25">
      <c r="B12" s="57" t="s">
        <v>8</v>
      </c>
      <c r="C12" s="57"/>
      <c r="D12" s="61">
        <f>+SUMIF('REQUISICION DE GASES'!$D:$D,BALANCE!$D$3,'REQUISICION DE GASES'!$K:$K)+SUMIF('REQUISICION DE GASES'!$D:$D,BALANCE!$D$4,'REQUISICION DE GASES'!$K:$K)+SUMIF('REQUISICION DE GASES'!$D:$D,BALANCE!$D$6,'REQUISICION DE GASES'!$K:$K)+SUMIF('REQUISICION DE GASES'!$D:$D,BALANCE!$D$7,'REQUISICION DE GASES'!$K:$K)+SUMIF('REQUISICION DE GASES'!$D:$D,BALANCE!$D$9,'REQUISICION DE GASES'!$K:$K)+SUMIF('REQUISICION DE GASES'!$D:$D,BALANCE!$D$10,'REQUISICION DE GASES'!$K:$K)+SUMIF('REQUISICION DE GASES'!$D:$D,BALANCE!$D$11,'REQUISICION DE GASES'!$K:$K)+SUMIF('REQUISICION DE GASES'!$D:$D,BALANCE!$E$6,'REQUISICION DE GASES'!$K:$K)+SUMIF('REQUISICION DE GASES'!$D:$D,BALANCE!$E$7,'REQUISICION DE GASES'!$K:$K)+SUMIF('REQUISICION DE GASES'!$D:$D,BALANCE!$E$9,'REQUISICION DE GASES'!$K:$K)+SUMIF('REQUISICION DE GASES'!$D:$D,BALANCE!$E$10,'REQUISICION DE GASES'!$K:$K)+SUMIF('REQUISICION DE GASES'!$D:$D,BALANCE!$E$11,'REQUISICION DE GASES'!$K:$K)</f>
        <v>0</v>
      </c>
      <c r="E12" s="61"/>
    </row>
    <row r="13" spans="1:17" ht="18.75" x14ac:dyDescent="0.25">
      <c r="B13" s="57" t="s">
        <v>9</v>
      </c>
      <c r="C13" s="57"/>
      <c r="D13" s="61">
        <f>+SUMIF('REQUISICION DE GASES'!$D:$D,BALANCE!$D$3,'REQUISICION DE GASES'!$L:$L)+SUMIF('REQUISICION DE GASES'!$D:$D,BALANCE!$D$4,'REQUISICION DE GASES'!$L:$L)+SUMIF('REQUISICION DE GASES'!$D:$D,BALANCE!$D$6,'REQUISICION DE GASES'!$L:$L)+SUMIF('REQUISICION DE GASES'!$D:$D,BALANCE!$D$7,'REQUISICION DE GASES'!$L:$L)+SUMIF('REQUISICION DE GASES'!$D:$D,BALANCE!$D$9,'REQUISICION DE GASES'!$L:$L)+SUMIF('REQUISICION DE GASES'!$D:$D,BALANCE!$D$10,'REQUISICION DE GASES'!$L:$L)+SUMIF('REQUISICION DE GASES'!$D:$D,BALANCE!$D$11,'REQUISICION DE GASES'!$L:$L)+SUMIF('REQUISICION DE GASES'!$D:$D,BALANCE!$E$6,'REQUISICION DE GASES'!$L:$L)+SUMIF('REQUISICION DE GASES'!$D:$D,BALANCE!$E$7,'REQUISICION DE GASES'!$L:$L)+SUMIF('REQUISICION DE GASES'!$D:$D,BALANCE!$E$9,'REQUISICION DE GASES'!$L:$L)+SUMIF('REQUISICION DE GASES'!$D:$D,BALANCE!$E$10,'REQUISICION DE GASES'!$L:$L)+SUMIF('REQUISICION DE GASES'!$D:$D,BALANCE!$E$11,'REQUISICION DE GASES'!$L:$L)</f>
        <v>0</v>
      </c>
      <c r="E13" s="61"/>
    </row>
    <row r="14" spans="1:17" ht="18.75" x14ac:dyDescent="0.25">
      <c r="B14" s="57" t="s">
        <v>10</v>
      </c>
      <c r="C14" s="57"/>
      <c r="D14" s="61">
        <f>+SUMIF('REQUISICION DE GASES'!$D:$D,BALANCE!$D$3,'REQUISICION DE GASES'!$M:$M)+SUMIF('REQUISICION DE GASES'!$D:$D,BALANCE!$D$4,'REQUISICION DE GASES'!$M:$M)+SUMIF('REQUISICION DE GASES'!$D:$D,BALANCE!$D$6,'REQUISICION DE GASES'!$M:$M)+SUMIF('REQUISICION DE GASES'!$D:$D,BALANCE!$D$7,'REQUISICION DE GASES'!$M:$M)+SUMIF('REQUISICION DE GASES'!$D:$D,BALANCE!$D$9,'REQUISICION DE GASES'!$M:$M)+SUMIF('REQUISICION DE GASES'!$D:$D,BALANCE!$D$10,'REQUISICION DE GASES'!$M:$M)+SUMIF('REQUISICION DE GASES'!$D:$D,BALANCE!$D$11,'REQUISICION DE GASES'!$M:$M)+SUMIF('REQUISICION DE GASES'!$D:$D,BALANCE!$E$6,'REQUISICION DE GASES'!$M:$M)+SUMIF('REQUISICION DE GASES'!$D:$D,BALANCE!$E$7,'REQUISICION DE GASES'!$M:$M)+SUMIF('REQUISICION DE GASES'!$D:$D,BALANCE!$E$9,'REQUISICION DE GASES'!$M:$M)+SUMIF('REQUISICION DE GASES'!$D:$D,BALANCE!$E$10,'REQUISICION DE GASES'!$M:$M)+SUMIF('REQUISICION DE GASES'!$D:$D,BALANCE!$E$11,'REQUISICION DE GASES'!$M:$M)</f>
        <v>0</v>
      </c>
      <c r="E14" s="61"/>
      <c r="I14" s="66"/>
      <c r="J14" s="66"/>
      <c r="K14" s="66"/>
    </row>
    <row r="15" spans="1:17" ht="18.75" x14ac:dyDescent="0.25">
      <c r="B15" s="57" t="s">
        <v>32</v>
      </c>
      <c r="C15" s="57"/>
      <c r="D15" s="62">
        <f>+SUMIF('REQUISICION DE GASES'!D:D,BALANCE!D6,'REQUISICION DE GASES'!N:N)+SUMIF('REQUISICION DE GASES'!D:D,BALANCE!D9,'REQUISICION DE GASES'!N:N)+SUMIF('REQUISICION DE GASES'!D:D,BALANCE!D10,'REQUISICION DE GASES'!N:N)+SUMIF('REQUISICION DE GASES'!D:D,BALANCE!D11,'REQUISICION DE GASES'!N:N)+SUMIF('REQUISICION DE GASES'!D:D,BALANCE!E6,'REQUISICION DE GASES'!N:N)+SUMIF('REQUISICION DE GASES'!D:D,BALANCE!E7,'REQUISICION DE GASES'!N:N)+SUMIF('REQUISICION DE GASES'!D:D,BALANCE!E9,'REQUISICION DE GASES'!N:N)+SUMIF('REQUISICION DE GASES'!D:D,BALANCE!E10,'REQUISICION DE GASES'!N:N)+SUMIF('REQUISICION DE GASES'!D:D,BALANCE!E11,'REQUISICION DE GASES'!N:N)</f>
        <v>0</v>
      </c>
      <c r="E15" s="63"/>
      <c r="I15" s="66"/>
      <c r="J15" s="66"/>
      <c r="K15" s="66"/>
    </row>
    <row r="16" spans="1:17" ht="18.75" x14ac:dyDescent="0.25">
      <c r="B16" s="57" t="s">
        <v>33</v>
      </c>
      <c r="C16" s="57"/>
      <c r="D16" s="62">
        <f>+SUMIF('REQUISICION DE GASES'!D:D,BALANCE!D6,'REQUISICION DE GASES'!J:J)+SUMIF('REQUISICION DE GASES'!D:D,BALANCE!D9,'REQUISICION DE GASES'!J:J)+SUMIF('REQUISICION DE GASES'!D:D,BALANCE!D10,'REQUISICION DE GASES'!J:J)+SUMIF('REQUISICION DE GASES'!D:D,BALANCE!D11,'REQUISICION DE GASES'!J:J)+SUMIF('REQUISICION DE GASES'!D:D,BALANCE!E6,'REQUISICION DE GASES'!J:J)+SUMIF('REQUISICION DE GASES'!D:D,BALANCE!E7,'REQUISICION DE GASES'!J:J)+SUMIF('REQUISICION DE GASES'!D:D,BALANCE!E9,'REQUISICION DE GASES'!J:J)+SUMIF('REQUISICION DE GASES'!D:D,BALANCE!E10,'REQUISICION DE GASES'!J:J)+SUMIF('REQUISICION DE GASES'!D:D,BALANCE!E11,'REQUISICION DE GASES'!J:J)</f>
        <v>0</v>
      </c>
      <c r="E16" s="63"/>
    </row>
    <row r="17" spans="2:5" ht="29.25" customHeight="1" x14ac:dyDescent="0.25">
      <c r="B17" s="59" t="s">
        <v>19</v>
      </c>
      <c r="C17" s="60"/>
      <c r="D17" s="61">
        <f>+SUM(D12:E16)</f>
        <v>0</v>
      </c>
      <c r="E17" s="61"/>
    </row>
    <row r="28" spans="2:5" x14ac:dyDescent="0.25">
      <c r="B28" s="1" t="str">
        <f t="array" ref="B28">+IFERROR(INDEX('REQUISICION DE GASES'!$D$28:$D$1659,SMALL(IF(BALANCE!$A$2='REQUISICION DE GASES'!$V$6:$V$1629,ROW('REQUISICION DE GASES'!$V$6:$V$1629)-ROW('REQUISICION DE GASES'!$V$6)+1),ROW(24:24))),"")</f>
        <v/>
      </c>
    </row>
  </sheetData>
  <mergeCells count="39">
    <mergeCell ref="N4:Q5"/>
    <mergeCell ref="N6:O6"/>
    <mergeCell ref="N7:O7"/>
    <mergeCell ref="N8:O8"/>
    <mergeCell ref="P6:Q6"/>
    <mergeCell ref="P7:Q7"/>
    <mergeCell ref="P8:Q8"/>
    <mergeCell ref="H4:K4"/>
    <mergeCell ref="H5:I5"/>
    <mergeCell ref="J5:K5"/>
    <mergeCell ref="J8:K8"/>
    <mergeCell ref="B4:E5"/>
    <mergeCell ref="H6:I6"/>
    <mergeCell ref="H7:I7"/>
    <mergeCell ref="H8:I8"/>
    <mergeCell ref="J6:K6"/>
    <mergeCell ref="J7:K7"/>
    <mergeCell ref="I14:K15"/>
    <mergeCell ref="J9:K9"/>
    <mergeCell ref="B12:C12"/>
    <mergeCell ref="D12:E12"/>
    <mergeCell ref="B6:C11"/>
    <mergeCell ref="H10:I10"/>
    <mergeCell ref="N9:O9"/>
    <mergeCell ref="P9:Q9"/>
    <mergeCell ref="N10:O10"/>
    <mergeCell ref="P10:Q10"/>
    <mergeCell ref="B17:C17"/>
    <mergeCell ref="D17:E17"/>
    <mergeCell ref="B15:C15"/>
    <mergeCell ref="B16:C16"/>
    <mergeCell ref="D15:E15"/>
    <mergeCell ref="D16:E16"/>
    <mergeCell ref="J10:K10"/>
    <mergeCell ref="H9:I9"/>
    <mergeCell ref="B13:C13"/>
    <mergeCell ref="B14:C14"/>
    <mergeCell ref="D13:E13"/>
    <mergeCell ref="D14:E1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4:V2327"/>
  <sheetViews>
    <sheetView topLeftCell="H2" workbookViewId="0">
      <selection activeCell="F17" sqref="F17"/>
    </sheetView>
  </sheetViews>
  <sheetFormatPr baseColWidth="10" defaultRowHeight="15" x14ac:dyDescent="0.25"/>
  <cols>
    <col min="1" max="3" width="11.42578125" style="1"/>
    <col min="4" max="5" width="23.7109375" style="1" customWidth="1"/>
    <col min="6" max="6" width="19.85546875" style="1" customWidth="1"/>
    <col min="7" max="7" width="23.5703125" style="1" customWidth="1"/>
    <col min="8" max="10" width="22.42578125" style="1" customWidth="1"/>
    <col min="11" max="11" width="19.28515625" style="1" customWidth="1"/>
    <col min="12" max="12" width="20.85546875" style="1" customWidth="1"/>
    <col min="13" max="13" width="21.5703125" style="1" customWidth="1"/>
    <col min="14" max="14" width="22.7109375" style="1" customWidth="1"/>
    <col min="15" max="15" width="20.28515625" style="1" customWidth="1"/>
    <col min="16" max="16384" width="11.42578125" style="1"/>
  </cols>
  <sheetData>
    <row r="4" spans="3:22" x14ac:dyDescent="0.25">
      <c r="C4" s="85" t="s">
        <v>17</v>
      </c>
      <c r="D4" s="85"/>
      <c r="E4" s="85"/>
      <c r="F4" s="85"/>
      <c r="G4" s="85"/>
      <c r="H4" s="85"/>
      <c r="I4" s="85"/>
      <c r="J4" s="83" t="s">
        <v>18</v>
      </c>
      <c r="K4" s="83"/>
      <c r="L4" s="83"/>
      <c r="M4" s="83"/>
      <c r="N4" s="83"/>
      <c r="O4" s="84"/>
    </row>
    <row r="5" spans="3:22" ht="30" x14ac:dyDescent="0.25">
      <c r="C5" s="42" t="s">
        <v>5</v>
      </c>
      <c r="D5" s="42" t="s">
        <v>0</v>
      </c>
      <c r="E5" s="42" t="s">
        <v>29</v>
      </c>
      <c r="F5" s="42" t="s">
        <v>1</v>
      </c>
      <c r="G5" s="42" t="s">
        <v>2</v>
      </c>
      <c r="H5" s="42" t="s">
        <v>3</v>
      </c>
      <c r="I5" s="42" t="s">
        <v>28</v>
      </c>
      <c r="J5" s="20" t="s">
        <v>30</v>
      </c>
      <c r="K5" s="18" t="s">
        <v>12</v>
      </c>
      <c r="L5" s="18" t="s">
        <v>13</v>
      </c>
      <c r="M5" s="18" t="s">
        <v>14</v>
      </c>
      <c r="N5" s="18" t="s">
        <v>31</v>
      </c>
      <c r="O5" s="25" t="s">
        <v>15</v>
      </c>
      <c r="V5" s="27"/>
    </row>
    <row r="6" spans="3:22" x14ac:dyDescent="0.25">
      <c r="C6" s="17">
        <v>45789</v>
      </c>
      <c r="D6" s="18" t="s">
        <v>37</v>
      </c>
      <c r="E6" s="18">
        <v>2</v>
      </c>
      <c r="F6" s="18">
        <v>21</v>
      </c>
      <c r="G6" s="18">
        <v>17</v>
      </c>
      <c r="H6" s="18">
        <v>9</v>
      </c>
      <c r="I6" s="18">
        <v>2</v>
      </c>
      <c r="J6" s="47">
        <f>+Tabla1[[#This Row],[Cilindros de Hidrogeno]]-(SUMIF(ENTREGACILINDROSMESSER!D:D,Tabla1[[#This Row],[Num. Orden de compra]],ENTREGACILINDROSMESSER!E:E))</f>
        <v>0</v>
      </c>
      <c r="K6" s="24">
        <f>+Tabla1[[#This Row],[Cilindros de Argòn ]]-(SUMIF(ENTREGACILINDROSMESSER!D:D,Tabla1[[#This Row],[Num. Orden de compra]],ENTREGACILINDROSMESSER!F:F))</f>
        <v>0</v>
      </c>
      <c r="L6" s="8">
        <f>+Tabla1[[#This Row],[Cilindros de Nitrogeno ]]-(SUMIF(ENTREGACILINDROSMESSER!D:D,Tabla1[[#This Row],[Num. Orden de compra]],ENTREGACILINDROSMESSER!G:G))</f>
        <v>0</v>
      </c>
      <c r="M6" s="8">
        <f>+Tabla1[[#This Row],[Cilindros de Aire Seco]]-(SUMIF(ENTREGACILINDROSMESSER!D:D,Tabla1[[#This Row],[Num. Orden de compra]],ENTREGACILINDROSMESSER!H:H))</f>
        <v>0</v>
      </c>
      <c r="N6" s="29">
        <f>+Tabla1[[#This Row],[Cilindros de Aire Cero]]-(SUMIF(ENTREGACILINDROSMESSER!D:D,Tabla2[Num. Orden de compra],ENTREGACILINDROSMESSER!I:I))</f>
        <v>0</v>
      </c>
      <c r="O6" s="8">
        <f>+SUM(J6:N6)</f>
        <v>0</v>
      </c>
      <c r="V6" s="1" t="str">
        <f>+IFERROR(IF(Tabla3[[#This Row],[Cilindros totales pendientes]]&gt;0,1,""),"")</f>
        <v/>
      </c>
    </row>
    <row r="7" spans="3:22" x14ac:dyDescent="0.25">
      <c r="C7" s="19"/>
      <c r="D7" s="20"/>
      <c r="E7" s="20"/>
      <c r="F7" s="20"/>
      <c r="G7" s="20"/>
      <c r="H7" s="20"/>
      <c r="I7" s="20"/>
      <c r="J7" s="47">
        <f>+Tabla1[[#This Row],[Cilindros de Hidrogeno]]-(SUMIF(ENTREGACILINDROSMESSER!D:D,Tabla1[[#This Row],[Num. Orden de compra]],ENTREGACILINDROSMESSER!E:E))</f>
        <v>0</v>
      </c>
      <c r="K7" s="8">
        <f>+Tabla1[[#This Row],[Cilindros de Argòn ]]-(SUMIF(ENTREGACILINDROSMESSER!D:D,Tabla1[[#This Row],[Num. Orden de compra]],ENTREGACILINDROSMESSER!F:F))</f>
        <v>0</v>
      </c>
      <c r="L7" s="8">
        <f>+Tabla1[[#This Row],[Cilindros de Nitrogeno ]]-(SUMIF(ENTREGACILINDROSMESSER!D:D,Tabla1[[#This Row],[Num. Orden de compra]],ENTREGACILINDROSMESSER!G:G))</f>
        <v>0</v>
      </c>
      <c r="M7" s="8">
        <f>+Tabla1[[#This Row],[Cilindros de Aire Seco]]-(SUMIF(ENTREGACILINDROSMESSER!D:D,Tabla1[[#This Row],[Num. Orden de compra]],ENTREGACILINDROSMESSER!H:H))</f>
        <v>0</v>
      </c>
      <c r="N7" s="29">
        <f>+Tabla1[[#This Row],[Cilindros de Aire Cero]]-(SUMIF(ENTREGACILINDROSMESSER!D:D,Tabla2[Num. Orden de compra],ENTREGACILINDROSMESSER!I:I))</f>
        <v>0</v>
      </c>
      <c r="O7" s="29">
        <f t="shared" ref="O7:O69" si="0">+SUM(J7:N7)</f>
        <v>0</v>
      </c>
      <c r="V7" s="1" t="str">
        <f>+IFERROR(IF(Tabla3[[#This Row],[Cilindros totales pendientes]]&gt;0,1,""),"")</f>
        <v/>
      </c>
    </row>
    <row r="8" spans="3:22" x14ac:dyDescent="0.25">
      <c r="C8" s="19"/>
      <c r="D8" s="20"/>
      <c r="E8" s="20"/>
      <c r="F8" s="20"/>
      <c r="G8" s="20"/>
      <c r="H8" s="20"/>
      <c r="I8" s="20"/>
      <c r="J8" s="47">
        <f>+Tabla1[[#This Row],[Cilindros de Hidrogeno]]-(SUMIF(ENTREGACILINDROSMESSER!D:D,Tabla1[[#This Row],[Num. Orden de compra]],ENTREGACILINDROSMESSER!E:E))</f>
        <v>0</v>
      </c>
      <c r="K8" s="8">
        <f>+Tabla1[[#This Row],[Cilindros de Argòn ]]-(SUMIF(ENTREGACILINDROSMESSER!D:D,Tabla1[[#This Row],[Num. Orden de compra]],ENTREGACILINDROSMESSER!F:F))</f>
        <v>0</v>
      </c>
      <c r="L8" s="8">
        <f>+Tabla1[[#This Row],[Cilindros de Nitrogeno ]]-(SUMIF(ENTREGACILINDROSMESSER!D:D,Tabla1[[#This Row],[Num. Orden de compra]],ENTREGACILINDROSMESSER!G:G))</f>
        <v>0</v>
      </c>
      <c r="M8" s="8">
        <f>+Tabla1[[#This Row],[Cilindros de Aire Seco]]-(SUMIF(ENTREGACILINDROSMESSER!D:D,Tabla1[[#This Row],[Num. Orden de compra]],ENTREGACILINDROSMESSER!H:H))</f>
        <v>0</v>
      </c>
      <c r="N8" s="29">
        <f>+Tabla1[[#This Row],[Cilindros de Aire Cero]]-(SUMIF(ENTREGACILINDROSMESSER!D:D,Tabla2[Num. Orden de compra],ENTREGACILINDROSMESSER!I:I))</f>
        <v>0</v>
      </c>
      <c r="O8" s="29">
        <f t="shared" si="0"/>
        <v>0</v>
      </c>
      <c r="V8" s="1" t="str">
        <f>+IFERROR(IF(Tabla3[[#This Row],[Cilindros totales pendientes]]&gt;0,1,""),"")</f>
        <v/>
      </c>
    </row>
    <row r="9" spans="3:22" x14ac:dyDescent="0.25">
      <c r="C9" s="19"/>
      <c r="D9" s="20"/>
      <c r="E9" s="20"/>
      <c r="F9" s="20"/>
      <c r="G9" s="20"/>
      <c r="H9" s="20"/>
      <c r="I9" s="20"/>
      <c r="J9" s="47">
        <f>+Tabla1[[#This Row],[Cilindros de Hidrogeno]]-(SUMIF(ENTREGACILINDROSMESSER!D:D,Tabla1[[#This Row],[Num. Orden de compra]],ENTREGACILINDROSMESSER!E:E))</f>
        <v>0</v>
      </c>
      <c r="K9" s="8">
        <f>+Tabla1[[#This Row],[Cilindros de Argòn ]]-(SUMIF(ENTREGACILINDROSMESSER!D:D,Tabla1[[#This Row],[Num. Orden de compra]],ENTREGACILINDROSMESSER!F:F))</f>
        <v>0</v>
      </c>
      <c r="L9" s="8">
        <f>+Tabla1[[#This Row],[Cilindros de Nitrogeno ]]-(SUMIF(ENTREGACILINDROSMESSER!D:D,Tabla1[[#This Row],[Num. Orden de compra]],ENTREGACILINDROSMESSER!G:G))</f>
        <v>0</v>
      </c>
      <c r="M9" s="8">
        <f>+Tabla1[[#This Row],[Cilindros de Aire Seco]]-(SUMIF(ENTREGACILINDROSMESSER!D:D,Tabla1[[#This Row],[Num. Orden de compra]],ENTREGACILINDROSMESSER!H:H))</f>
        <v>0</v>
      </c>
      <c r="N9" s="29">
        <f>+Tabla1[[#This Row],[Cilindros de Aire Cero]]-(SUMIF(ENTREGACILINDROSMESSER!D:D,Tabla2[Num. Orden de compra],ENTREGACILINDROSMESSER!I:I))</f>
        <v>0</v>
      </c>
      <c r="O9" s="29">
        <f t="shared" si="0"/>
        <v>0</v>
      </c>
      <c r="V9" s="1" t="str">
        <f>+IFERROR(IF(Tabla3[[#This Row],[Cilindros totales pendientes]]&gt;0,1,""),"")</f>
        <v/>
      </c>
    </row>
    <row r="10" spans="3:22" x14ac:dyDescent="0.25">
      <c r="C10" s="19"/>
      <c r="D10" s="20"/>
      <c r="E10" s="20"/>
      <c r="F10" s="20"/>
      <c r="G10" s="20"/>
      <c r="H10" s="20"/>
      <c r="I10" s="20"/>
      <c r="J10" s="47">
        <f>+Tabla1[[#This Row],[Cilindros de Hidrogeno]]-(SUMIF(ENTREGACILINDROSMESSER!D:D,Tabla1[[#This Row],[Num. Orden de compra]],ENTREGACILINDROSMESSER!E:E))</f>
        <v>0</v>
      </c>
      <c r="K10" s="8">
        <f>+Tabla1[[#This Row],[Cilindros de Argòn ]]-(SUMIF(ENTREGACILINDROSMESSER!D:D,Tabla1[[#This Row],[Num. Orden de compra]],ENTREGACILINDROSMESSER!F:F))</f>
        <v>0</v>
      </c>
      <c r="L10" s="8">
        <f>+Tabla1[[#This Row],[Cilindros de Nitrogeno ]]-(SUMIF(ENTREGACILINDROSMESSER!D:D,Tabla1[[#This Row],[Num. Orden de compra]],ENTREGACILINDROSMESSER!G:G))</f>
        <v>0</v>
      </c>
      <c r="M10" s="8">
        <f>+Tabla1[[#This Row],[Cilindros de Aire Seco]]-(SUMIF(ENTREGACILINDROSMESSER!D:D,Tabla1[[#This Row],[Num. Orden de compra]],ENTREGACILINDROSMESSER!H:H))</f>
        <v>0</v>
      </c>
      <c r="N10" s="29">
        <f>+Tabla1[[#This Row],[Cilindros de Aire Cero]]-(SUMIF(ENTREGACILINDROSMESSER!D:D,Tabla2[Num. Orden de compra],ENTREGACILINDROSMESSER!I:I))</f>
        <v>0</v>
      </c>
      <c r="O10" s="29">
        <f t="shared" si="0"/>
        <v>0</v>
      </c>
      <c r="V10" s="1" t="str">
        <f>+IFERROR(IF(Tabla3[[#This Row],[Cilindros totales pendientes]]&gt;0,1,""),"")</f>
        <v/>
      </c>
    </row>
    <row r="11" spans="3:22" x14ac:dyDescent="0.25">
      <c r="C11" s="19"/>
      <c r="D11" s="20"/>
      <c r="E11" s="20"/>
      <c r="F11" s="20"/>
      <c r="G11" s="20"/>
      <c r="H11" s="20"/>
      <c r="I11" s="20"/>
      <c r="J11" s="47">
        <f>+Tabla1[[#This Row],[Cilindros de Hidrogeno]]-(SUMIF(ENTREGACILINDROSMESSER!D:D,Tabla1[[#This Row],[Num. Orden de compra]],ENTREGACILINDROSMESSER!E:E))</f>
        <v>0</v>
      </c>
      <c r="K11" s="8">
        <f>+Tabla1[[#This Row],[Cilindros de Argòn ]]-(SUMIF(ENTREGACILINDROSMESSER!D:D,Tabla1[[#This Row],[Num. Orden de compra]],ENTREGACILINDROSMESSER!F:F))</f>
        <v>0</v>
      </c>
      <c r="L11" s="8">
        <f>+Tabla1[[#This Row],[Cilindros de Nitrogeno ]]-(SUMIF(ENTREGACILINDROSMESSER!D:D,Tabla1[[#This Row],[Num. Orden de compra]],ENTREGACILINDROSMESSER!G:G))</f>
        <v>0</v>
      </c>
      <c r="M11" s="8">
        <f>+Tabla1[[#This Row],[Cilindros de Aire Seco]]-(SUMIF(ENTREGACILINDROSMESSER!D:D,Tabla1[[#This Row],[Num. Orden de compra]],ENTREGACILINDROSMESSER!H:H))</f>
        <v>0</v>
      </c>
      <c r="N11" s="29">
        <f>+Tabla1[[#This Row],[Cilindros de Aire Cero]]-(SUMIF(ENTREGACILINDROSMESSER!D:D,Tabla2[Num. Orden de compra],ENTREGACILINDROSMESSER!I:I))</f>
        <v>0</v>
      </c>
      <c r="O11" s="29">
        <f t="shared" si="0"/>
        <v>0</v>
      </c>
      <c r="V11" s="1" t="str">
        <f>+IFERROR(IF(Tabla3[[#This Row],[Cilindros totales pendientes]]&gt;0,1,""),"")</f>
        <v/>
      </c>
    </row>
    <row r="12" spans="3:22" x14ac:dyDescent="0.25">
      <c r="C12" s="19"/>
      <c r="D12" s="20"/>
      <c r="E12" s="20"/>
      <c r="F12" s="20"/>
      <c r="G12" s="20"/>
      <c r="H12" s="20"/>
      <c r="I12" s="20"/>
      <c r="J12" s="47">
        <f>+Tabla1[[#This Row],[Cilindros de Hidrogeno]]-(SUMIF(ENTREGACILINDROSMESSER!D:D,Tabla1[[#This Row],[Num. Orden de compra]],ENTREGACILINDROSMESSER!E:E))</f>
        <v>0</v>
      </c>
      <c r="K12" s="8">
        <f>+Tabla1[[#This Row],[Cilindros de Argòn ]]-(SUMIF(ENTREGACILINDROSMESSER!D:D,Tabla1[[#This Row],[Num. Orden de compra]],ENTREGACILINDROSMESSER!F:F))</f>
        <v>0</v>
      </c>
      <c r="L12" s="8">
        <f>+Tabla1[[#This Row],[Cilindros de Nitrogeno ]]-(SUMIF(ENTREGACILINDROSMESSER!D:D,Tabla1[[#This Row],[Num. Orden de compra]],ENTREGACILINDROSMESSER!G:G))</f>
        <v>0</v>
      </c>
      <c r="M12" s="8">
        <f>+Tabla1[[#This Row],[Cilindros de Aire Seco]]-(SUMIF(ENTREGACILINDROSMESSER!D:D,Tabla1[[#This Row],[Num. Orden de compra]],ENTREGACILINDROSMESSER!H:H))</f>
        <v>0</v>
      </c>
      <c r="N12" s="29">
        <f>+Tabla1[[#This Row],[Cilindros de Aire Cero]]-(SUMIF(ENTREGACILINDROSMESSER!D:D,Tabla2[Num. Orden de compra],ENTREGACILINDROSMESSER!I:I))</f>
        <v>0</v>
      </c>
      <c r="O12" s="29">
        <f t="shared" si="0"/>
        <v>0</v>
      </c>
      <c r="V12" s="1" t="str">
        <f>+IFERROR(IF(Tabla3[[#This Row],[Cilindros totales pendientes]]&gt;0,1,""),"")</f>
        <v/>
      </c>
    </row>
    <row r="13" spans="3:22" x14ac:dyDescent="0.25">
      <c r="C13" s="19"/>
      <c r="D13" s="20"/>
      <c r="E13" s="20"/>
      <c r="F13" s="20"/>
      <c r="G13" s="20"/>
      <c r="H13" s="20"/>
      <c r="I13" s="20"/>
      <c r="J13" s="47">
        <f>+Tabla1[[#This Row],[Cilindros de Hidrogeno]]-(SUMIF(ENTREGACILINDROSMESSER!D:D,Tabla1[[#This Row],[Num. Orden de compra]],ENTREGACILINDROSMESSER!E:E))</f>
        <v>0</v>
      </c>
      <c r="K13" s="8">
        <f>+Tabla1[[#This Row],[Cilindros de Argòn ]]-(SUMIF(ENTREGACILINDROSMESSER!D:D,Tabla1[[#This Row],[Num. Orden de compra]],ENTREGACILINDROSMESSER!F:F))</f>
        <v>0</v>
      </c>
      <c r="L13" s="8">
        <f>+Tabla1[[#This Row],[Cilindros de Nitrogeno ]]-(SUMIF(ENTREGACILINDROSMESSER!D:D,Tabla1[[#This Row],[Num. Orden de compra]],ENTREGACILINDROSMESSER!G:G))</f>
        <v>0</v>
      </c>
      <c r="M13" s="8">
        <f>+Tabla1[[#This Row],[Cilindros de Aire Seco]]-(SUMIF(ENTREGACILINDROSMESSER!D:D,Tabla1[[#This Row],[Num. Orden de compra]],ENTREGACILINDROSMESSER!H:H))</f>
        <v>0</v>
      </c>
      <c r="N13" s="29">
        <f>+Tabla1[[#This Row],[Cilindros de Aire Cero]]-(SUMIF(ENTREGACILINDROSMESSER!D:D,Tabla2[Num. Orden de compra],ENTREGACILINDROSMESSER!I:I))</f>
        <v>0</v>
      </c>
      <c r="O13" s="29">
        <f t="shared" si="0"/>
        <v>0</v>
      </c>
      <c r="V13" s="1" t="str">
        <f>+IFERROR(IF(Tabla3[[#This Row],[Cilindros totales pendientes]]&gt;0,1,""),"")</f>
        <v/>
      </c>
    </row>
    <row r="14" spans="3:22" x14ac:dyDescent="0.25">
      <c r="C14" s="19"/>
      <c r="D14" s="20"/>
      <c r="E14" s="20"/>
      <c r="F14" s="20"/>
      <c r="G14" s="20"/>
      <c r="H14" s="20"/>
      <c r="I14" s="20"/>
      <c r="J14" s="47">
        <f>+Tabla1[[#This Row],[Cilindros de Hidrogeno]]-(SUMIF(ENTREGACILINDROSMESSER!D:D,Tabla1[[#This Row],[Num. Orden de compra]],ENTREGACILINDROSMESSER!E:E))</f>
        <v>0</v>
      </c>
      <c r="K14" s="8">
        <f>+Tabla1[[#This Row],[Cilindros de Argòn ]]-(SUMIF(ENTREGACILINDROSMESSER!D:D,Tabla1[[#This Row],[Num. Orden de compra]],ENTREGACILINDROSMESSER!F:F))</f>
        <v>0</v>
      </c>
      <c r="L14" s="8">
        <f>+Tabla1[[#This Row],[Cilindros de Nitrogeno ]]-(SUMIF(ENTREGACILINDROSMESSER!D:D,Tabla1[[#This Row],[Num. Orden de compra]],ENTREGACILINDROSMESSER!G:G))</f>
        <v>0</v>
      </c>
      <c r="M14" s="8">
        <f>+Tabla1[[#This Row],[Cilindros de Aire Seco]]-(SUMIF(ENTREGACILINDROSMESSER!D:D,Tabla1[[#This Row],[Num. Orden de compra]],ENTREGACILINDROSMESSER!H:H))</f>
        <v>0</v>
      </c>
      <c r="N14" s="29">
        <f>+Tabla1[[#This Row],[Cilindros de Aire Cero]]-(SUMIF(ENTREGACILINDROSMESSER!D:D,Tabla2[Num. Orden de compra],ENTREGACILINDROSMESSER!I:I))</f>
        <v>0</v>
      </c>
      <c r="O14" s="29">
        <f t="shared" si="0"/>
        <v>0</v>
      </c>
      <c r="V14" s="1" t="str">
        <f>+IFERROR(IF(Tabla3[[#This Row],[Cilindros totales pendientes]]&gt;0,1,""),"")</f>
        <v/>
      </c>
    </row>
    <row r="15" spans="3:22" x14ac:dyDescent="0.25">
      <c r="C15" s="19"/>
      <c r="D15" s="20"/>
      <c r="E15" s="20"/>
      <c r="F15" s="20"/>
      <c r="G15" s="20"/>
      <c r="H15" s="20"/>
      <c r="I15" s="20"/>
      <c r="J15" s="24">
        <f>+Tabla1[[#This Row],[Cilindros de Hidrogeno]]-(SUMIF(ENTREGACILINDROSMESSER!D:D,Tabla1[[#This Row],[Num. Orden de compra]],ENTREGACILINDROSMESSER!E:E))</f>
        <v>0</v>
      </c>
      <c r="K15" s="8">
        <f>+Tabla1[[#This Row],[Cilindros de Argòn ]]-(SUMIF(ENTREGACILINDROSMESSER!D:D,Tabla1[[#This Row],[Num. Orden de compra]],ENTREGACILINDROSMESSER!F:F))</f>
        <v>0</v>
      </c>
      <c r="L15" s="8">
        <f>+Tabla1[[#This Row],[Cilindros de Nitrogeno ]]-(SUMIF(ENTREGACILINDROSMESSER!D:D,Tabla1[[#This Row],[Num. Orden de compra]],ENTREGACILINDROSMESSER!G:G))</f>
        <v>0</v>
      </c>
      <c r="M15" s="8">
        <f>+Tabla1[[#This Row],[Cilindros de Aire Seco]]-(SUMIF(ENTREGACILINDROSMESSER!D:D,Tabla1[[#This Row],[Num. Orden de compra]],ENTREGACILINDROSMESSER!H:H))</f>
        <v>0</v>
      </c>
      <c r="N15" s="29">
        <f>+Tabla1[[#This Row],[Cilindros de Aire Cero]]-(SUMIF(ENTREGACILINDROSMESSER!D:D,Tabla2[Num. Orden de compra],ENTREGACILINDROSMESSER!I:I))</f>
        <v>0</v>
      </c>
      <c r="O15" s="29">
        <f t="shared" si="0"/>
        <v>0</v>
      </c>
      <c r="V15" s="1" t="str">
        <f>+IFERROR(IF(Tabla3[[#This Row],[Cilindros totales pendientes]]&gt;0,1,""),"")</f>
        <v/>
      </c>
    </row>
    <row r="16" spans="3:22" x14ac:dyDescent="0.25">
      <c r="C16" s="19"/>
      <c r="D16" s="20"/>
      <c r="E16" s="20"/>
      <c r="F16" s="20"/>
      <c r="G16" s="20"/>
      <c r="H16" s="20"/>
      <c r="I16" s="18"/>
      <c r="J16" s="18">
        <f>+Tabla1[[#This Row],[Cilindros de Hidrogeno]]-(SUMIF(ENTREGACILINDROSMESSER!D:D,Tabla1[[#This Row],[Num. Orden de compra]],ENTREGACILINDROSMESSER!E:E))</f>
        <v>0</v>
      </c>
      <c r="K16" s="8">
        <f>+Tabla1[[#This Row],[Cilindros de Argòn ]]-(SUMIF(ENTREGACILINDROSMESSER!D:D,Tabla1[[#This Row],[Num. Orden de compra]],ENTREGACILINDROSMESSER!F:F))</f>
        <v>0</v>
      </c>
      <c r="L16" s="8">
        <f>+Tabla1[[#This Row],[Cilindros de Nitrogeno ]]-(SUMIF(ENTREGACILINDROSMESSER!D:D,Tabla1[[#This Row],[Num. Orden de compra]],ENTREGACILINDROSMESSER!G:G))</f>
        <v>0</v>
      </c>
      <c r="M16" s="8">
        <f>+Tabla1[[#This Row],[Cilindros de Aire Seco]]-(SUMIF(ENTREGACILINDROSMESSER!D:D,Tabla1[[#This Row],[Num. Orden de compra]],ENTREGACILINDROSMESSER!H:H))</f>
        <v>0</v>
      </c>
      <c r="N16" s="29">
        <f>+Tabla1[[#This Row],[Cilindros de Aire Cero]]-(SUMIF(ENTREGACILINDROSMESSER!D:D,Tabla2[Num. Orden de compra],ENTREGACILINDROSMESSER!I:I))</f>
        <v>0</v>
      </c>
      <c r="O16" s="29">
        <f t="shared" si="0"/>
        <v>0</v>
      </c>
      <c r="V16" s="1" t="str">
        <f>+IFERROR(IF(Tabla3[[#This Row],[Cilindros totales pendientes]]&gt;0,1,""),"")</f>
        <v/>
      </c>
    </row>
    <row r="17" spans="3:22" x14ac:dyDescent="0.25">
      <c r="C17" s="19"/>
      <c r="D17" s="20"/>
      <c r="E17" s="20"/>
      <c r="F17" s="20"/>
      <c r="G17" s="20"/>
      <c r="H17" s="20"/>
      <c r="I17" s="18"/>
      <c r="J17" s="18">
        <f>+Tabla1[[#This Row],[Cilindros de Hidrogeno]]-(SUMIF(ENTREGACILINDROSMESSER!D:D,Tabla1[[#This Row],[Num. Orden de compra]],ENTREGACILINDROSMESSER!E:E))</f>
        <v>0</v>
      </c>
      <c r="K17" s="8">
        <f>+Tabla1[[#This Row],[Cilindros de Argòn ]]-(SUMIF(ENTREGACILINDROSMESSER!D:D,Tabla1[[#This Row],[Num. Orden de compra]],ENTREGACILINDROSMESSER!F:F))</f>
        <v>0</v>
      </c>
      <c r="L17" s="8">
        <f>+Tabla1[[#This Row],[Cilindros de Nitrogeno ]]-(SUMIF(ENTREGACILINDROSMESSER!D:D,Tabla1[[#This Row],[Num. Orden de compra]],ENTREGACILINDROSMESSER!G:G))</f>
        <v>0</v>
      </c>
      <c r="M17" s="8">
        <f>+Tabla1[[#This Row],[Cilindros de Aire Seco]]-(SUMIF(ENTREGACILINDROSMESSER!D:D,Tabla1[[#This Row],[Num. Orden de compra]],ENTREGACILINDROSMESSER!H:H))</f>
        <v>0</v>
      </c>
      <c r="N17" s="29">
        <f>+Tabla1[[#This Row],[Cilindros de Aire Cero]]-(SUMIF(ENTREGACILINDROSMESSER!D:D,Tabla2[Num. Orden de compra],ENTREGACILINDROSMESSER!I:I))</f>
        <v>0</v>
      </c>
      <c r="O17" s="29">
        <f t="shared" si="0"/>
        <v>0</v>
      </c>
      <c r="V17" s="1" t="str">
        <f>+IFERROR(IF(Tabla3[[#This Row],[Cilindros totales pendientes]]&gt;0,1,""),"")</f>
        <v/>
      </c>
    </row>
    <row r="18" spans="3:22" x14ac:dyDescent="0.25">
      <c r="C18" s="19"/>
      <c r="D18" s="20"/>
      <c r="E18" s="20"/>
      <c r="F18" s="20"/>
      <c r="G18" s="20"/>
      <c r="H18" s="20"/>
      <c r="I18" s="18"/>
      <c r="J18" s="18">
        <f>+Tabla1[[#This Row],[Cilindros de Hidrogeno]]-(SUMIF(ENTREGACILINDROSMESSER!D:D,Tabla1[[#This Row],[Num. Orden de compra]],ENTREGACILINDROSMESSER!E:E))</f>
        <v>0</v>
      </c>
      <c r="K18" s="8">
        <f>+Tabla1[[#This Row],[Cilindros de Argòn ]]-(SUMIF(ENTREGACILINDROSMESSER!D:D,Tabla1[[#This Row],[Num. Orden de compra]],ENTREGACILINDROSMESSER!F:F))</f>
        <v>0</v>
      </c>
      <c r="L18" s="8">
        <f>+Tabla1[[#This Row],[Cilindros de Nitrogeno ]]-(SUMIF(ENTREGACILINDROSMESSER!D:D,Tabla1[[#This Row],[Num. Orden de compra]],ENTREGACILINDROSMESSER!G:G))</f>
        <v>0</v>
      </c>
      <c r="M18" s="8">
        <f>+Tabla1[[#This Row],[Cilindros de Aire Seco]]-(SUMIF(ENTREGACILINDROSMESSER!D:D,Tabla1[[#This Row],[Num. Orden de compra]],ENTREGACILINDROSMESSER!H:H))</f>
        <v>0</v>
      </c>
      <c r="N18" s="29">
        <f>+Tabla1[[#This Row],[Cilindros de Aire Cero]]-(SUMIF(ENTREGACILINDROSMESSER!D:D,Tabla2[Num. Orden de compra],ENTREGACILINDROSMESSER!I:I))</f>
        <v>0</v>
      </c>
      <c r="O18" s="29">
        <f t="shared" si="0"/>
        <v>0</v>
      </c>
      <c r="V18" s="1" t="str">
        <f>+IFERROR(IF(Tabla3[[#This Row],[Cilindros totales pendientes]]&gt;0,1,""),"")</f>
        <v/>
      </c>
    </row>
    <row r="19" spans="3:22" x14ac:dyDescent="0.25">
      <c r="C19" s="19"/>
      <c r="D19" s="20"/>
      <c r="E19" s="20"/>
      <c r="F19" s="20"/>
      <c r="G19" s="20"/>
      <c r="H19" s="20"/>
      <c r="I19" s="18"/>
      <c r="J19" s="18">
        <f>+Tabla1[[#This Row],[Cilindros de Hidrogeno]]-(SUMIF(ENTREGACILINDROSMESSER!D:D,Tabla1[[#This Row],[Num. Orden de compra]],ENTREGACILINDROSMESSER!E:E))</f>
        <v>0</v>
      </c>
      <c r="K19" s="8">
        <f>+Tabla1[[#This Row],[Cilindros de Argòn ]]-(SUMIF(ENTREGACILINDROSMESSER!D:D,Tabla1[[#This Row],[Num. Orden de compra]],ENTREGACILINDROSMESSER!F:F))</f>
        <v>0</v>
      </c>
      <c r="L19" s="8">
        <f>+Tabla1[[#This Row],[Cilindros de Nitrogeno ]]-(SUMIF(ENTREGACILINDROSMESSER!D:D,Tabla1[[#This Row],[Num. Orden de compra]],ENTREGACILINDROSMESSER!G:G))</f>
        <v>0</v>
      </c>
      <c r="M19" s="8">
        <f>+Tabla1[[#This Row],[Cilindros de Aire Seco]]-(SUMIF(ENTREGACILINDROSMESSER!D:D,Tabla1[[#This Row],[Num. Orden de compra]],ENTREGACILINDROSMESSER!H:H))</f>
        <v>0</v>
      </c>
      <c r="N19" s="29">
        <f>+Tabla1[[#This Row],[Cilindros de Aire Cero]]-(SUMIF(ENTREGACILINDROSMESSER!D:D,Tabla2[Num. Orden de compra],ENTREGACILINDROSMESSER!I:I))</f>
        <v>0</v>
      </c>
      <c r="O19" s="29">
        <f t="shared" si="0"/>
        <v>0</v>
      </c>
      <c r="V19" s="1" t="str">
        <f>+IFERROR(IF(Tabla3[[#This Row],[Cilindros totales pendientes]]&gt;0,1,""),"")</f>
        <v/>
      </c>
    </row>
    <row r="20" spans="3:22" x14ac:dyDescent="0.25">
      <c r="C20" s="19"/>
      <c r="D20" s="20"/>
      <c r="E20" s="20"/>
      <c r="F20" s="20"/>
      <c r="G20" s="20"/>
      <c r="H20" s="20"/>
      <c r="I20" s="18"/>
      <c r="J20" s="18">
        <f>+Tabla1[[#This Row],[Cilindros de Hidrogeno]]-(SUMIF(ENTREGACILINDROSMESSER!D:D,Tabla1[[#This Row],[Num. Orden de compra]],ENTREGACILINDROSMESSER!E:E))</f>
        <v>0</v>
      </c>
      <c r="K20" s="8">
        <f>+Tabla1[[#This Row],[Cilindros de Argòn ]]-(SUMIF(ENTREGACILINDROSMESSER!D:D,Tabla1[[#This Row],[Num. Orden de compra]],ENTREGACILINDROSMESSER!F:F))</f>
        <v>0</v>
      </c>
      <c r="L20" s="8">
        <f>+Tabla1[[#This Row],[Cilindros de Nitrogeno ]]-(SUMIF(ENTREGACILINDROSMESSER!D:D,Tabla1[[#This Row],[Num. Orden de compra]],ENTREGACILINDROSMESSER!G:G))</f>
        <v>0</v>
      </c>
      <c r="M20" s="8">
        <f>+Tabla1[[#This Row],[Cilindros de Aire Seco]]-(SUMIF(ENTREGACILINDROSMESSER!D:D,Tabla1[[#This Row],[Num. Orden de compra]],ENTREGACILINDROSMESSER!H:H))</f>
        <v>0</v>
      </c>
      <c r="N20" s="29">
        <f>+Tabla1[[#This Row],[Cilindros de Aire Cero]]-(SUMIF(ENTREGACILINDROSMESSER!D:D,Tabla2[Num. Orden de compra],ENTREGACILINDROSMESSER!I:I))</f>
        <v>0</v>
      </c>
      <c r="O20" s="29">
        <f t="shared" si="0"/>
        <v>0</v>
      </c>
      <c r="V20" s="1" t="str">
        <f>+IFERROR(IF(Tabla3[[#This Row],[Cilindros totales pendientes]]&gt;0,1,""),"")</f>
        <v/>
      </c>
    </row>
    <row r="21" spans="3:22" x14ac:dyDescent="0.25">
      <c r="C21" s="19"/>
      <c r="D21" s="20"/>
      <c r="E21" s="20"/>
      <c r="F21" s="20"/>
      <c r="G21" s="20"/>
      <c r="H21" s="20"/>
      <c r="I21" s="18"/>
      <c r="J21" s="18">
        <f>+Tabla1[[#This Row],[Cilindros de Hidrogeno]]-(SUMIF(ENTREGACILINDROSMESSER!D:D,Tabla1[[#This Row],[Num. Orden de compra]],ENTREGACILINDROSMESSER!E:E))</f>
        <v>0</v>
      </c>
      <c r="K21" s="8">
        <f>+Tabla1[[#This Row],[Cilindros de Argòn ]]-(SUMIF(ENTREGACILINDROSMESSER!D:D,Tabla1[[#This Row],[Num. Orden de compra]],ENTREGACILINDROSMESSER!F:F))</f>
        <v>0</v>
      </c>
      <c r="L21" s="8">
        <f>+Tabla1[[#This Row],[Cilindros de Nitrogeno ]]-(SUMIF(ENTREGACILINDROSMESSER!D:D,Tabla1[[#This Row],[Num. Orden de compra]],ENTREGACILINDROSMESSER!G:G))</f>
        <v>0</v>
      </c>
      <c r="M21" s="8">
        <f>+Tabla1[[#This Row],[Cilindros de Aire Seco]]-(SUMIF(ENTREGACILINDROSMESSER!D:D,Tabla1[[#This Row],[Num. Orden de compra]],ENTREGACILINDROSMESSER!H:H))</f>
        <v>0</v>
      </c>
      <c r="N21" s="29">
        <f>+Tabla1[[#This Row],[Cilindros de Aire Cero]]-(SUMIF(ENTREGACILINDROSMESSER!D:D,Tabla2[Num. Orden de compra],ENTREGACILINDROSMESSER!I:I))</f>
        <v>0</v>
      </c>
      <c r="O21" s="29">
        <f t="shared" si="0"/>
        <v>0</v>
      </c>
      <c r="V21" s="1" t="str">
        <f>+IFERROR(IF(Tabla3[[#This Row],[Cilindros totales pendientes]]&gt;0,1,""),"")</f>
        <v/>
      </c>
    </row>
    <row r="22" spans="3:22" x14ac:dyDescent="0.25">
      <c r="C22" s="19"/>
      <c r="D22" s="20"/>
      <c r="E22" s="20"/>
      <c r="F22" s="20"/>
      <c r="G22" s="20"/>
      <c r="H22" s="20"/>
      <c r="I22" s="18"/>
      <c r="J22" s="18">
        <f>+Tabla1[[#This Row],[Cilindros de Hidrogeno]]-(SUMIF(ENTREGACILINDROSMESSER!D:D,Tabla1[[#This Row],[Num. Orden de compra]],ENTREGACILINDROSMESSER!E:E))</f>
        <v>0</v>
      </c>
      <c r="K22" s="8">
        <f>+Tabla1[[#This Row],[Cilindros de Argòn ]]-(SUMIF(ENTREGACILINDROSMESSER!D:D,Tabla1[[#This Row],[Num. Orden de compra]],ENTREGACILINDROSMESSER!F:F))</f>
        <v>0</v>
      </c>
      <c r="L22" s="8">
        <f>+Tabla1[[#This Row],[Cilindros de Nitrogeno ]]-(SUMIF(ENTREGACILINDROSMESSER!D:D,Tabla1[[#This Row],[Num. Orden de compra]],ENTREGACILINDROSMESSER!G:G))</f>
        <v>0</v>
      </c>
      <c r="M22" s="8">
        <f>+Tabla1[[#This Row],[Cilindros de Aire Seco]]-(SUMIF(ENTREGACILINDROSMESSER!D:D,Tabla1[[#This Row],[Num. Orden de compra]],ENTREGACILINDROSMESSER!H:H))</f>
        <v>0</v>
      </c>
      <c r="N22" s="29">
        <f>+Tabla1[[#This Row],[Cilindros de Aire Cero]]-(SUMIF(ENTREGACILINDROSMESSER!D:D,Tabla2[Num. Orden de compra],ENTREGACILINDROSMESSER!I:I))</f>
        <v>0</v>
      </c>
      <c r="O22" s="29">
        <f t="shared" si="0"/>
        <v>0</v>
      </c>
      <c r="V22" s="1" t="str">
        <f>+IFERROR(IF(Tabla3[[#This Row],[Cilindros totales pendientes]]&gt;0,1,""),"")</f>
        <v/>
      </c>
    </row>
    <row r="23" spans="3:22" x14ac:dyDescent="0.25">
      <c r="C23" s="19"/>
      <c r="D23" s="20"/>
      <c r="E23" s="20"/>
      <c r="F23" s="20"/>
      <c r="G23" s="20"/>
      <c r="H23" s="20"/>
      <c r="I23" s="18"/>
      <c r="J23" s="18">
        <f>+Tabla1[[#This Row],[Cilindros de Hidrogeno]]-(SUMIF(ENTREGACILINDROSMESSER!D:D,Tabla1[[#This Row],[Num. Orden de compra]],ENTREGACILINDROSMESSER!E:E))</f>
        <v>0</v>
      </c>
      <c r="K23" s="8">
        <f>+Tabla1[[#This Row],[Cilindros de Argòn ]]-(SUMIF(ENTREGACILINDROSMESSER!D:D,Tabla1[[#This Row],[Num. Orden de compra]],ENTREGACILINDROSMESSER!F:F))</f>
        <v>0</v>
      </c>
      <c r="L23" s="8">
        <f>+Tabla1[[#This Row],[Cilindros de Nitrogeno ]]-(SUMIF(ENTREGACILINDROSMESSER!D:D,Tabla1[[#This Row],[Num. Orden de compra]],ENTREGACILINDROSMESSER!G:G))</f>
        <v>0</v>
      </c>
      <c r="M23" s="8">
        <f>+Tabla1[[#This Row],[Cilindros de Aire Seco]]-(SUMIF(ENTREGACILINDROSMESSER!D:D,Tabla1[[#This Row],[Num. Orden de compra]],ENTREGACILINDROSMESSER!H:H))</f>
        <v>0</v>
      </c>
      <c r="N23" s="29">
        <f>+Tabla1[[#This Row],[Cilindros de Aire Cero]]-(SUMIF(ENTREGACILINDROSMESSER!D:D,Tabla2[Num. Orden de compra],ENTREGACILINDROSMESSER!I:I))</f>
        <v>0</v>
      </c>
      <c r="O23" s="29">
        <f t="shared" si="0"/>
        <v>0</v>
      </c>
      <c r="V23" s="1" t="str">
        <f>+IFERROR(IF(Tabla3[[#This Row],[Cilindros totales pendientes]]&gt;0,1,""),"")</f>
        <v/>
      </c>
    </row>
    <row r="24" spans="3:22" x14ac:dyDescent="0.25">
      <c r="C24" s="19"/>
      <c r="D24" s="20"/>
      <c r="E24" s="20"/>
      <c r="F24" s="20"/>
      <c r="G24" s="20"/>
      <c r="H24" s="20"/>
      <c r="I24" s="18"/>
      <c r="J24" s="18">
        <f>+Tabla1[[#This Row],[Cilindros de Hidrogeno]]-(SUMIF(ENTREGACILINDROSMESSER!D:D,Tabla1[[#This Row],[Num. Orden de compra]],ENTREGACILINDROSMESSER!E:E))</f>
        <v>0</v>
      </c>
      <c r="K24" s="8">
        <f>+Tabla1[[#This Row],[Cilindros de Argòn ]]-(SUMIF(ENTREGACILINDROSMESSER!D:D,Tabla1[[#This Row],[Num. Orden de compra]],ENTREGACILINDROSMESSER!F:F))</f>
        <v>0</v>
      </c>
      <c r="L24" s="8">
        <f>+Tabla1[[#This Row],[Cilindros de Nitrogeno ]]-(SUMIF(ENTREGACILINDROSMESSER!D:D,Tabla1[[#This Row],[Num. Orden de compra]],ENTREGACILINDROSMESSER!G:G))</f>
        <v>0</v>
      </c>
      <c r="M24" s="8">
        <f>+Tabla1[[#This Row],[Cilindros de Aire Seco]]-(SUMIF(ENTREGACILINDROSMESSER!D:D,Tabla1[[#This Row],[Num. Orden de compra]],ENTREGACILINDROSMESSER!H:H))</f>
        <v>0</v>
      </c>
      <c r="N24" s="29">
        <f>+Tabla1[[#This Row],[Cilindros de Aire Cero]]-(SUMIF(ENTREGACILINDROSMESSER!D:D,Tabla2[Num. Orden de compra],ENTREGACILINDROSMESSER!I:I))</f>
        <v>0</v>
      </c>
      <c r="O24" s="29">
        <f t="shared" si="0"/>
        <v>0</v>
      </c>
      <c r="V24" s="1" t="str">
        <f>+IFERROR(IF(Tabla3[[#This Row],[Cilindros totales pendientes]]&gt;0,1,""),"")</f>
        <v/>
      </c>
    </row>
    <row r="25" spans="3:22" x14ac:dyDescent="0.25">
      <c r="C25" s="19"/>
      <c r="D25" s="20"/>
      <c r="E25" s="20"/>
      <c r="F25" s="20"/>
      <c r="G25" s="20"/>
      <c r="H25" s="20"/>
      <c r="I25" s="18"/>
      <c r="J25" s="18">
        <f>+Tabla1[[#This Row],[Cilindros de Hidrogeno]]-(SUMIF(ENTREGACILINDROSMESSER!D:D,Tabla1[[#This Row],[Num. Orden de compra]],ENTREGACILINDROSMESSER!E:E))</f>
        <v>0</v>
      </c>
      <c r="K25" s="8">
        <f>+Tabla1[[#This Row],[Cilindros de Argòn ]]-(SUMIF(ENTREGACILINDROSMESSER!D:D,Tabla1[[#This Row],[Num. Orden de compra]],ENTREGACILINDROSMESSER!F:F))</f>
        <v>0</v>
      </c>
      <c r="L25" s="8">
        <f>+Tabla1[[#This Row],[Cilindros de Nitrogeno ]]-(SUMIF(ENTREGACILINDROSMESSER!D:D,Tabla1[[#This Row],[Num. Orden de compra]],ENTREGACILINDROSMESSER!G:G))</f>
        <v>0</v>
      </c>
      <c r="M25" s="8">
        <f>+Tabla1[[#This Row],[Cilindros de Aire Seco]]-(SUMIF(ENTREGACILINDROSMESSER!D:D,Tabla1[[#This Row],[Num. Orden de compra]],ENTREGACILINDROSMESSER!H:H))</f>
        <v>0</v>
      </c>
      <c r="N25" s="29">
        <f>+Tabla1[[#This Row],[Cilindros de Aire Cero]]-(SUMIF(ENTREGACILINDROSMESSER!D:D,Tabla2[Num. Orden de compra],ENTREGACILINDROSMESSER!I:I))</f>
        <v>0</v>
      </c>
      <c r="O25" s="29">
        <f t="shared" si="0"/>
        <v>0</v>
      </c>
      <c r="V25" s="1" t="str">
        <f>+IFERROR(IF(Tabla3[[#This Row],[Cilindros totales pendientes]]&gt;0,1,""),"")</f>
        <v/>
      </c>
    </row>
    <row r="26" spans="3:22" x14ac:dyDescent="0.25">
      <c r="C26" s="19"/>
      <c r="D26" s="20"/>
      <c r="E26" s="20"/>
      <c r="F26" s="20"/>
      <c r="G26" s="20"/>
      <c r="H26" s="20"/>
      <c r="I26" s="18"/>
      <c r="J26" s="18">
        <f>+Tabla1[[#This Row],[Cilindros de Hidrogeno]]-(SUMIF(ENTREGACILINDROSMESSER!D:D,Tabla1[[#This Row],[Num. Orden de compra]],ENTREGACILINDROSMESSER!E:E))</f>
        <v>0</v>
      </c>
      <c r="K26" s="8">
        <f>+Tabla1[[#This Row],[Cilindros de Argòn ]]-(SUMIF(ENTREGACILINDROSMESSER!D:D,Tabla1[[#This Row],[Num. Orden de compra]],ENTREGACILINDROSMESSER!F:F))</f>
        <v>0</v>
      </c>
      <c r="L26" s="8">
        <f>+Tabla1[[#This Row],[Cilindros de Nitrogeno ]]-(SUMIF(ENTREGACILINDROSMESSER!D:D,Tabla1[[#This Row],[Num. Orden de compra]],ENTREGACILINDROSMESSER!G:G))</f>
        <v>0</v>
      </c>
      <c r="M26" s="8">
        <f>+Tabla1[[#This Row],[Cilindros de Aire Seco]]-(SUMIF(ENTREGACILINDROSMESSER!D:D,Tabla1[[#This Row],[Num. Orden de compra]],ENTREGACILINDROSMESSER!H:H))</f>
        <v>0</v>
      </c>
      <c r="N26" s="29">
        <f>+Tabla1[[#This Row],[Cilindros de Aire Cero]]-(SUMIF(ENTREGACILINDROSMESSER!D:D,Tabla2[Num. Orden de compra],ENTREGACILINDROSMESSER!I:I))</f>
        <v>0</v>
      </c>
      <c r="O26" s="29">
        <f t="shared" si="0"/>
        <v>0</v>
      </c>
      <c r="V26" s="1" t="str">
        <f>+IFERROR(IF(Tabla3[[#This Row],[Cilindros totales pendientes]]&gt;0,1,""),"")</f>
        <v/>
      </c>
    </row>
    <row r="27" spans="3:22" x14ac:dyDescent="0.25">
      <c r="C27" s="19"/>
      <c r="D27" s="20"/>
      <c r="E27" s="20"/>
      <c r="F27" s="20"/>
      <c r="G27" s="20"/>
      <c r="H27" s="20"/>
      <c r="I27" s="18"/>
      <c r="J27" s="18">
        <f>+Tabla1[[#This Row],[Cilindros de Hidrogeno]]-(SUMIF(ENTREGACILINDROSMESSER!D:D,Tabla1[[#This Row],[Num. Orden de compra]],ENTREGACILINDROSMESSER!E:E))</f>
        <v>0</v>
      </c>
      <c r="K27" s="8">
        <f>+Tabla1[[#This Row],[Cilindros de Argòn ]]-(SUMIF(ENTREGACILINDROSMESSER!D:D,Tabla1[[#This Row],[Num. Orden de compra]],ENTREGACILINDROSMESSER!F:F))</f>
        <v>0</v>
      </c>
      <c r="L27" s="8">
        <f>+Tabla1[[#This Row],[Cilindros de Nitrogeno ]]-(SUMIF(ENTREGACILINDROSMESSER!D:D,Tabla1[[#This Row],[Num. Orden de compra]],ENTREGACILINDROSMESSER!G:G))</f>
        <v>0</v>
      </c>
      <c r="M27" s="8">
        <f>+Tabla1[[#This Row],[Cilindros de Aire Seco]]-(SUMIF(ENTREGACILINDROSMESSER!D:D,Tabla1[[#This Row],[Num. Orden de compra]],ENTREGACILINDROSMESSER!H:H))</f>
        <v>0</v>
      </c>
      <c r="N27" s="29">
        <f>+Tabla1[[#This Row],[Cilindros de Aire Cero]]-(SUMIF(ENTREGACILINDROSMESSER!D:D,Tabla2[Num. Orden de compra],ENTREGACILINDROSMESSER!I:I))</f>
        <v>0</v>
      </c>
      <c r="O27" s="29">
        <f t="shared" si="0"/>
        <v>0</v>
      </c>
      <c r="V27" s="1" t="str">
        <f>+IFERROR(IF(Tabla3[[#This Row],[Cilindros totales pendientes]]&gt;0,1,""),"")</f>
        <v/>
      </c>
    </row>
    <row r="28" spans="3:22" x14ac:dyDescent="0.25">
      <c r="C28" s="19"/>
      <c r="D28" s="20"/>
      <c r="E28" s="20"/>
      <c r="F28" s="20"/>
      <c r="G28" s="20"/>
      <c r="H28" s="20"/>
      <c r="I28" s="18"/>
      <c r="J28" s="18">
        <f>+Tabla1[[#This Row],[Cilindros de Hidrogeno]]-(SUMIF(ENTREGACILINDROSMESSER!D:D,Tabla1[[#This Row],[Num. Orden de compra]],ENTREGACILINDROSMESSER!E:E))</f>
        <v>0</v>
      </c>
      <c r="K28" s="8">
        <f>+Tabla1[[#This Row],[Cilindros de Argòn ]]-(SUMIF(ENTREGACILINDROSMESSER!D:D,Tabla1[[#This Row],[Num. Orden de compra]],ENTREGACILINDROSMESSER!F:F))</f>
        <v>0</v>
      </c>
      <c r="L28" s="8">
        <f>+Tabla1[[#This Row],[Cilindros de Nitrogeno ]]-(SUMIF(ENTREGACILINDROSMESSER!D:D,Tabla1[[#This Row],[Num. Orden de compra]],ENTREGACILINDROSMESSER!G:G))</f>
        <v>0</v>
      </c>
      <c r="M28" s="8">
        <f>+Tabla1[[#This Row],[Cilindros de Aire Seco]]-(SUMIF(ENTREGACILINDROSMESSER!D:D,Tabla1[[#This Row],[Num. Orden de compra]],ENTREGACILINDROSMESSER!H:H))</f>
        <v>0</v>
      </c>
      <c r="N28" s="29">
        <f>+Tabla1[[#This Row],[Cilindros de Aire Cero]]-(SUMIF(ENTREGACILINDROSMESSER!D:D,Tabla2[Num. Orden de compra],ENTREGACILINDROSMESSER!I:I))</f>
        <v>0</v>
      </c>
      <c r="O28" s="29">
        <f t="shared" si="0"/>
        <v>0</v>
      </c>
      <c r="V28" s="1" t="str">
        <f>+IFERROR(IF(Tabla3[[#This Row],[Cilindros totales pendientes]]&gt;0,1,""),"")</f>
        <v/>
      </c>
    </row>
    <row r="29" spans="3:22" x14ac:dyDescent="0.25">
      <c r="C29" s="19"/>
      <c r="D29" s="20"/>
      <c r="E29" s="20"/>
      <c r="F29" s="20"/>
      <c r="G29" s="20"/>
      <c r="H29" s="20"/>
      <c r="I29" s="18"/>
      <c r="J29" s="18">
        <f>+Tabla1[[#This Row],[Cilindros de Hidrogeno]]-(SUMIF(ENTREGACILINDROSMESSER!D:D,Tabla1[[#This Row],[Num. Orden de compra]],ENTREGACILINDROSMESSER!E:E))</f>
        <v>0</v>
      </c>
      <c r="K29" s="8">
        <f>+Tabla1[[#This Row],[Cilindros de Argòn ]]-(SUMIF(ENTREGACILINDROSMESSER!D:D,Tabla1[[#This Row],[Num. Orden de compra]],ENTREGACILINDROSMESSER!F:F))</f>
        <v>0</v>
      </c>
      <c r="L29" s="8">
        <f>+Tabla1[[#This Row],[Cilindros de Nitrogeno ]]-(SUMIF(ENTREGACILINDROSMESSER!D:D,Tabla1[[#This Row],[Num. Orden de compra]],ENTREGACILINDROSMESSER!G:G))</f>
        <v>0</v>
      </c>
      <c r="M29" s="8">
        <f>+Tabla1[[#This Row],[Cilindros de Aire Seco]]-(SUMIF(ENTREGACILINDROSMESSER!D:D,Tabla1[[#This Row],[Num. Orden de compra]],ENTREGACILINDROSMESSER!H:H))</f>
        <v>0</v>
      </c>
      <c r="N29" s="29">
        <f>+Tabla1[[#This Row],[Cilindros de Aire Cero]]-(SUMIF(ENTREGACILINDROSMESSER!D:D,Tabla2[Num. Orden de compra],ENTREGACILINDROSMESSER!I:I))</f>
        <v>0</v>
      </c>
      <c r="O29" s="29">
        <f t="shared" si="0"/>
        <v>0</v>
      </c>
      <c r="V29" s="1" t="str">
        <f>+IFERROR(IF(Tabla3[[#This Row],[Cilindros totales pendientes]]&gt;0,1,""),"")</f>
        <v/>
      </c>
    </row>
    <row r="30" spans="3:22" x14ac:dyDescent="0.25">
      <c r="C30" s="19"/>
      <c r="D30" s="20"/>
      <c r="E30" s="20"/>
      <c r="F30" s="20"/>
      <c r="G30" s="20"/>
      <c r="H30" s="20"/>
      <c r="I30" s="18"/>
      <c r="J30" s="18">
        <f>+Tabla1[[#This Row],[Cilindros de Hidrogeno]]-(SUMIF(ENTREGACILINDROSMESSER!D:D,Tabla1[[#This Row],[Num. Orden de compra]],ENTREGACILINDROSMESSER!E:E))</f>
        <v>0</v>
      </c>
      <c r="K30" s="8">
        <f>+Tabla1[[#This Row],[Cilindros de Argòn ]]-(SUMIF(ENTREGACILINDROSMESSER!D:D,Tabla1[[#This Row],[Num. Orden de compra]],ENTREGACILINDROSMESSER!F:F))</f>
        <v>0</v>
      </c>
      <c r="L30" s="8">
        <f>+Tabla1[[#This Row],[Cilindros de Nitrogeno ]]-(SUMIF(ENTREGACILINDROSMESSER!D:D,Tabla1[[#This Row],[Num. Orden de compra]],ENTREGACILINDROSMESSER!G:G))</f>
        <v>0</v>
      </c>
      <c r="M30" s="8">
        <f>+Tabla1[[#This Row],[Cilindros de Aire Seco]]-(SUMIF(ENTREGACILINDROSMESSER!D:D,Tabla1[[#This Row],[Num. Orden de compra]],ENTREGACILINDROSMESSER!H:H))</f>
        <v>0</v>
      </c>
      <c r="N30" s="29">
        <f>+Tabla1[[#This Row],[Cilindros de Aire Cero]]-(SUMIF(ENTREGACILINDROSMESSER!D:D,Tabla2[Num. Orden de compra],ENTREGACILINDROSMESSER!I:I))</f>
        <v>0</v>
      </c>
      <c r="O30" s="29">
        <f t="shared" si="0"/>
        <v>0</v>
      </c>
      <c r="V30" s="1" t="str">
        <f>+IFERROR(IF(Tabla3[[#This Row],[Cilindros totales pendientes]]&gt;0,1,""),"")</f>
        <v/>
      </c>
    </row>
    <row r="31" spans="3:22" x14ac:dyDescent="0.25">
      <c r="C31" s="19"/>
      <c r="D31" s="20"/>
      <c r="E31" s="20"/>
      <c r="F31" s="20"/>
      <c r="G31" s="20"/>
      <c r="H31" s="20"/>
      <c r="I31" s="18"/>
      <c r="J31" s="18">
        <f>+Tabla1[[#This Row],[Cilindros de Hidrogeno]]-(SUMIF(ENTREGACILINDROSMESSER!D:D,Tabla1[[#This Row],[Num. Orden de compra]],ENTREGACILINDROSMESSER!E:E))</f>
        <v>0</v>
      </c>
      <c r="K31" s="8">
        <f>+Tabla1[[#This Row],[Cilindros de Argòn ]]-(SUMIF(ENTREGACILINDROSMESSER!D:D,Tabla1[[#This Row],[Num. Orden de compra]],ENTREGACILINDROSMESSER!F:F))</f>
        <v>0</v>
      </c>
      <c r="L31" s="8">
        <f>+Tabla1[[#This Row],[Cilindros de Nitrogeno ]]-(SUMIF(ENTREGACILINDROSMESSER!D:D,Tabla1[[#This Row],[Num. Orden de compra]],ENTREGACILINDROSMESSER!G:G))</f>
        <v>0</v>
      </c>
      <c r="M31" s="8">
        <f>+Tabla1[[#This Row],[Cilindros de Aire Seco]]-(SUMIF(ENTREGACILINDROSMESSER!D:D,Tabla1[[#This Row],[Num. Orden de compra]],ENTREGACILINDROSMESSER!H:H))</f>
        <v>0</v>
      </c>
      <c r="N31" s="29">
        <f>+Tabla1[[#This Row],[Cilindros de Aire Cero]]-(SUMIF(ENTREGACILINDROSMESSER!D:D,Tabla2[Num. Orden de compra],ENTREGACILINDROSMESSER!I:I))</f>
        <v>0</v>
      </c>
      <c r="O31" s="29">
        <f t="shared" si="0"/>
        <v>0</v>
      </c>
      <c r="V31" s="1" t="str">
        <f>+IFERROR(IF(Tabla3[[#This Row],[Cilindros totales pendientes]]&gt;0,1,""),"")</f>
        <v/>
      </c>
    </row>
    <row r="32" spans="3:22" x14ac:dyDescent="0.25">
      <c r="C32" s="19"/>
      <c r="D32" s="20"/>
      <c r="E32" s="20"/>
      <c r="F32" s="20"/>
      <c r="G32" s="20"/>
      <c r="H32" s="20"/>
      <c r="I32" s="18"/>
      <c r="J32" s="18">
        <f>+Tabla1[[#This Row],[Cilindros de Hidrogeno]]-(SUMIF(ENTREGACILINDROSMESSER!D:D,Tabla1[[#This Row],[Num. Orden de compra]],ENTREGACILINDROSMESSER!E:E))</f>
        <v>0</v>
      </c>
      <c r="K32" s="8">
        <f>+Tabla1[[#This Row],[Cilindros de Argòn ]]-(SUMIF(ENTREGACILINDROSMESSER!D:D,Tabla1[[#This Row],[Num. Orden de compra]],ENTREGACILINDROSMESSER!F:F))</f>
        <v>0</v>
      </c>
      <c r="L32" s="8">
        <f>+Tabla1[[#This Row],[Cilindros de Nitrogeno ]]-(SUMIF(ENTREGACILINDROSMESSER!D:D,Tabla1[[#This Row],[Num. Orden de compra]],ENTREGACILINDROSMESSER!G:G))</f>
        <v>0</v>
      </c>
      <c r="M32" s="8">
        <f>+Tabla1[[#This Row],[Cilindros de Aire Seco]]-(SUMIF(ENTREGACILINDROSMESSER!D:D,Tabla1[[#This Row],[Num. Orden de compra]],ENTREGACILINDROSMESSER!H:H))</f>
        <v>0</v>
      </c>
      <c r="N32" s="29">
        <f>+Tabla1[[#This Row],[Cilindros de Aire Cero]]-(SUMIF(ENTREGACILINDROSMESSER!D:D,Tabla2[Num. Orden de compra],ENTREGACILINDROSMESSER!I:I))</f>
        <v>0</v>
      </c>
      <c r="O32" s="29">
        <f t="shared" si="0"/>
        <v>0</v>
      </c>
      <c r="V32" s="1" t="str">
        <f>+IFERROR(IF(Tabla3[[#This Row],[Cilindros totales pendientes]]&gt;0,1,""),"")</f>
        <v/>
      </c>
    </row>
    <row r="33" spans="3:22" x14ac:dyDescent="0.25">
      <c r="C33" s="19"/>
      <c r="D33" s="20"/>
      <c r="E33" s="20"/>
      <c r="F33" s="20"/>
      <c r="G33" s="20"/>
      <c r="H33" s="20"/>
      <c r="I33" s="18"/>
      <c r="J33" s="18">
        <f>+Tabla1[[#This Row],[Cilindros de Hidrogeno]]-(SUMIF(ENTREGACILINDROSMESSER!D:D,Tabla1[[#This Row],[Num. Orden de compra]],ENTREGACILINDROSMESSER!E:E))</f>
        <v>0</v>
      </c>
      <c r="K33" s="8">
        <f>+Tabla1[[#This Row],[Cilindros de Argòn ]]-(SUMIF(ENTREGACILINDROSMESSER!D:D,Tabla1[[#This Row],[Num. Orden de compra]],ENTREGACILINDROSMESSER!F:F))</f>
        <v>0</v>
      </c>
      <c r="L33" s="8">
        <f>+Tabla1[[#This Row],[Cilindros de Nitrogeno ]]-(SUMIF(ENTREGACILINDROSMESSER!D:D,Tabla1[[#This Row],[Num. Orden de compra]],ENTREGACILINDROSMESSER!G:G))</f>
        <v>0</v>
      </c>
      <c r="M33" s="8">
        <f>+Tabla1[[#This Row],[Cilindros de Aire Seco]]-(SUMIF(ENTREGACILINDROSMESSER!D:D,Tabla1[[#This Row],[Num. Orden de compra]],ENTREGACILINDROSMESSER!H:H))</f>
        <v>0</v>
      </c>
      <c r="N33" s="29">
        <f>+Tabla1[[#This Row],[Cilindros de Aire Cero]]-(SUMIF(ENTREGACILINDROSMESSER!D:D,Tabla2[Num. Orden de compra],ENTREGACILINDROSMESSER!I:I))</f>
        <v>0</v>
      </c>
      <c r="O33" s="29">
        <f t="shared" si="0"/>
        <v>0</v>
      </c>
      <c r="V33" s="1" t="str">
        <f>+IFERROR(IF(Tabla3[[#This Row],[Cilindros totales pendientes]]&gt;0,1,""),"")</f>
        <v/>
      </c>
    </row>
    <row r="34" spans="3:22" x14ac:dyDescent="0.25">
      <c r="C34" s="19"/>
      <c r="D34" s="20"/>
      <c r="E34" s="20"/>
      <c r="F34" s="20"/>
      <c r="G34" s="20"/>
      <c r="H34" s="20"/>
      <c r="I34" s="18"/>
      <c r="J34" s="18">
        <f>+Tabla1[[#This Row],[Cilindros de Hidrogeno]]-(SUMIF(ENTREGACILINDROSMESSER!D:D,Tabla1[[#This Row],[Num. Orden de compra]],ENTREGACILINDROSMESSER!E:E))</f>
        <v>0</v>
      </c>
      <c r="K34" s="8">
        <f>+Tabla1[[#This Row],[Cilindros de Argòn ]]-(SUMIF(ENTREGACILINDROSMESSER!D:D,Tabla1[[#This Row],[Num. Orden de compra]],ENTREGACILINDROSMESSER!F:F))</f>
        <v>0</v>
      </c>
      <c r="L34" s="8">
        <f>+Tabla1[[#This Row],[Cilindros de Nitrogeno ]]-(SUMIF(ENTREGACILINDROSMESSER!D:D,Tabla1[[#This Row],[Num. Orden de compra]],ENTREGACILINDROSMESSER!G:G))</f>
        <v>0</v>
      </c>
      <c r="M34" s="8">
        <f>+Tabla1[[#This Row],[Cilindros de Aire Seco]]-(SUMIF(ENTREGACILINDROSMESSER!D:D,Tabla1[[#This Row],[Num. Orden de compra]],ENTREGACILINDROSMESSER!H:H))</f>
        <v>0</v>
      </c>
      <c r="N34" s="29">
        <f>+Tabla1[[#This Row],[Cilindros de Aire Cero]]-(SUMIF(ENTREGACILINDROSMESSER!D:D,Tabla2[Num. Orden de compra],ENTREGACILINDROSMESSER!I:I))</f>
        <v>0</v>
      </c>
      <c r="O34" s="29">
        <f t="shared" si="0"/>
        <v>0</v>
      </c>
      <c r="V34" s="1" t="str">
        <f>+IFERROR(IF(Tabla3[[#This Row],[Cilindros totales pendientes]]&gt;0,1,""),"")</f>
        <v/>
      </c>
    </row>
    <row r="35" spans="3:22" x14ac:dyDescent="0.25">
      <c r="C35" s="19"/>
      <c r="D35" s="20"/>
      <c r="E35" s="20"/>
      <c r="F35" s="20"/>
      <c r="G35" s="20"/>
      <c r="H35" s="20"/>
      <c r="I35" s="18"/>
      <c r="J35" s="18">
        <f>+Tabla1[[#This Row],[Cilindros de Hidrogeno]]-(SUMIF(ENTREGACILINDROSMESSER!D:D,Tabla1[[#This Row],[Num. Orden de compra]],ENTREGACILINDROSMESSER!E:E))</f>
        <v>0</v>
      </c>
      <c r="K35" s="8">
        <f>+Tabla1[[#This Row],[Cilindros de Argòn ]]-(SUMIF(ENTREGACILINDROSMESSER!D:D,Tabla1[[#This Row],[Num. Orden de compra]],ENTREGACILINDROSMESSER!F:F))</f>
        <v>0</v>
      </c>
      <c r="L35" s="8">
        <f>+Tabla1[[#This Row],[Cilindros de Nitrogeno ]]-(SUMIF(ENTREGACILINDROSMESSER!D:D,Tabla1[[#This Row],[Num. Orden de compra]],ENTREGACILINDROSMESSER!G:G))</f>
        <v>0</v>
      </c>
      <c r="M35" s="8">
        <f>+Tabla1[[#This Row],[Cilindros de Aire Seco]]-(SUMIF(ENTREGACILINDROSMESSER!D:D,Tabla1[[#This Row],[Num. Orden de compra]],ENTREGACILINDROSMESSER!H:H))</f>
        <v>0</v>
      </c>
      <c r="N35" s="29">
        <f>+Tabla1[[#This Row],[Cilindros de Aire Cero]]-(SUMIF(ENTREGACILINDROSMESSER!D:D,Tabla2[Num. Orden de compra],ENTREGACILINDROSMESSER!I:I))</f>
        <v>0</v>
      </c>
      <c r="O35" s="29">
        <f t="shared" si="0"/>
        <v>0</v>
      </c>
      <c r="V35" s="1" t="str">
        <f>+IFERROR(IF(Tabla3[[#This Row],[Cilindros totales pendientes]]&gt;0,1,""),"")</f>
        <v/>
      </c>
    </row>
    <row r="36" spans="3:22" x14ac:dyDescent="0.25">
      <c r="C36" s="19"/>
      <c r="D36" s="20"/>
      <c r="E36" s="20"/>
      <c r="F36" s="20"/>
      <c r="G36" s="20"/>
      <c r="H36" s="20"/>
      <c r="I36" s="18"/>
      <c r="J36" s="18">
        <f>+Tabla1[[#This Row],[Cilindros de Hidrogeno]]-(SUMIF(ENTREGACILINDROSMESSER!D:D,Tabla1[[#This Row],[Num. Orden de compra]],ENTREGACILINDROSMESSER!E:E))</f>
        <v>0</v>
      </c>
      <c r="K36" s="8">
        <f>+Tabla1[[#This Row],[Cilindros de Argòn ]]-(SUMIF(ENTREGACILINDROSMESSER!D:D,Tabla1[[#This Row],[Num. Orden de compra]],ENTREGACILINDROSMESSER!F:F))</f>
        <v>0</v>
      </c>
      <c r="L36" s="8">
        <f>+Tabla1[[#This Row],[Cilindros de Nitrogeno ]]-(SUMIF(ENTREGACILINDROSMESSER!D:D,Tabla1[[#This Row],[Num. Orden de compra]],ENTREGACILINDROSMESSER!G:G))</f>
        <v>0</v>
      </c>
      <c r="M36" s="8">
        <f>+Tabla1[[#This Row],[Cilindros de Aire Seco]]-(SUMIF(ENTREGACILINDROSMESSER!D:D,Tabla1[[#This Row],[Num. Orden de compra]],ENTREGACILINDROSMESSER!H:H))</f>
        <v>0</v>
      </c>
      <c r="N36" s="29">
        <f>+Tabla1[[#This Row],[Cilindros de Aire Cero]]-(SUMIF(ENTREGACILINDROSMESSER!D:D,Tabla2[Num. Orden de compra],ENTREGACILINDROSMESSER!I:I))</f>
        <v>0</v>
      </c>
      <c r="O36" s="29">
        <f t="shared" si="0"/>
        <v>0</v>
      </c>
      <c r="V36" s="1" t="str">
        <f>+IFERROR(IF(Tabla3[[#This Row],[Cilindros totales pendientes]]&gt;0,1,""),"")</f>
        <v/>
      </c>
    </row>
    <row r="37" spans="3:22" x14ac:dyDescent="0.25">
      <c r="C37" s="19"/>
      <c r="D37" s="20"/>
      <c r="E37" s="20"/>
      <c r="F37" s="20"/>
      <c r="G37" s="20"/>
      <c r="H37" s="20"/>
      <c r="I37" s="18"/>
      <c r="J37" s="18">
        <f>+Tabla1[[#This Row],[Cilindros de Hidrogeno]]-(SUMIF(ENTREGACILINDROSMESSER!D:D,Tabla1[[#This Row],[Num. Orden de compra]],ENTREGACILINDROSMESSER!E:E))</f>
        <v>0</v>
      </c>
      <c r="K37" s="8">
        <f>+Tabla1[[#This Row],[Cilindros de Argòn ]]-(SUMIF(ENTREGACILINDROSMESSER!D:D,Tabla1[[#This Row],[Num. Orden de compra]],ENTREGACILINDROSMESSER!F:F))</f>
        <v>0</v>
      </c>
      <c r="L37" s="8">
        <f>+Tabla1[[#This Row],[Cilindros de Nitrogeno ]]-(SUMIF(ENTREGACILINDROSMESSER!D:D,Tabla1[[#This Row],[Num. Orden de compra]],ENTREGACILINDROSMESSER!G:G))</f>
        <v>0</v>
      </c>
      <c r="M37" s="8">
        <f>+Tabla1[[#This Row],[Cilindros de Aire Seco]]-(SUMIF(ENTREGACILINDROSMESSER!D:D,Tabla1[[#This Row],[Num. Orden de compra]],ENTREGACILINDROSMESSER!H:H))</f>
        <v>0</v>
      </c>
      <c r="N37" s="29">
        <f>+Tabla1[[#This Row],[Cilindros de Aire Cero]]-(SUMIF(ENTREGACILINDROSMESSER!D:D,Tabla2[Num. Orden de compra],ENTREGACILINDROSMESSER!I:I))</f>
        <v>0</v>
      </c>
      <c r="O37" s="29">
        <f t="shared" si="0"/>
        <v>0</v>
      </c>
      <c r="V37" s="1" t="str">
        <f>+IFERROR(IF(Tabla3[[#This Row],[Cilindros totales pendientes]]&gt;0,1,""),"")</f>
        <v/>
      </c>
    </row>
    <row r="38" spans="3:22" x14ac:dyDescent="0.25">
      <c r="C38" s="19"/>
      <c r="D38" s="20"/>
      <c r="E38" s="20"/>
      <c r="F38" s="20"/>
      <c r="G38" s="20"/>
      <c r="H38" s="20"/>
      <c r="I38" s="18"/>
      <c r="J38" s="18">
        <f>+Tabla1[[#This Row],[Cilindros de Hidrogeno]]-(SUMIF(ENTREGACILINDROSMESSER!D:D,Tabla1[[#This Row],[Num. Orden de compra]],ENTREGACILINDROSMESSER!E:E))</f>
        <v>0</v>
      </c>
      <c r="K38" s="8">
        <f>+Tabla1[[#This Row],[Cilindros de Argòn ]]-(SUMIF(ENTREGACILINDROSMESSER!D:D,Tabla1[[#This Row],[Num. Orden de compra]],ENTREGACILINDROSMESSER!F:F))</f>
        <v>0</v>
      </c>
      <c r="L38" s="8">
        <f>+Tabla1[[#This Row],[Cilindros de Nitrogeno ]]-(SUMIF(ENTREGACILINDROSMESSER!D:D,Tabla1[[#This Row],[Num. Orden de compra]],ENTREGACILINDROSMESSER!G:G))</f>
        <v>0</v>
      </c>
      <c r="M38" s="8">
        <f>+Tabla1[[#This Row],[Cilindros de Aire Seco]]-(SUMIF(ENTREGACILINDROSMESSER!D:D,Tabla1[[#This Row],[Num. Orden de compra]],ENTREGACILINDROSMESSER!H:H))</f>
        <v>0</v>
      </c>
      <c r="N38" s="29">
        <f>+Tabla1[[#This Row],[Cilindros de Aire Cero]]-(SUMIF(ENTREGACILINDROSMESSER!D:D,Tabla2[Num. Orden de compra],ENTREGACILINDROSMESSER!I:I))</f>
        <v>0</v>
      </c>
      <c r="O38" s="29">
        <f t="shared" si="0"/>
        <v>0</v>
      </c>
      <c r="V38" s="1" t="str">
        <f>+IFERROR(IF(Tabla3[[#This Row],[Cilindros totales pendientes]]&gt;0,1,""),"")</f>
        <v/>
      </c>
    </row>
    <row r="39" spans="3:22" x14ac:dyDescent="0.25">
      <c r="C39" s="2"/>
      <c r="D39" s="2"/>
      <c r="E39" s="2"/>
      <c r="F39" s="2"/>
      <c r="G39" s="2"/>
      <c r="H39" s="2"/>
      <c r="I39" s="2"/>
      <c r="J39" s="2">
        <f>+Tabla1[[#This Row],[Cilindros de Hidrogeno]]-(SUMIF(ENTREGACILINDROSMESSER!D:D,Tabla1[[#This Row],[Num. Orden de compra]],ENTREGACILINDROSMESSER!E:E))</f>
        <v>0</v>
      </c>
      <c r="K39" s="8">
        <f>+Tabla1[[#This Row],[Cilindros de Argòn ]]-(SUMIF(ENTREGACILINDROSMESSER!D:D,Tabla1[[#This Row],[Num. Orden de compra]],ENTREGACILINDROSMESSER!F:F))</f>
        <v>0</v>
      </c>
      <c r="L39" s="8">
        <f>+Tabla1[[#This Row],[Cilindros de Nitrogeno ]]-(SUMIF(ENTREGACILINDROSMESSER!D:D,Tabla1[[#This Row],[Num. Orden de compra]],ENTREGACILINDROSMESSER!G:G))</f>
        <v>0</v>
      </c>
      <c r="M39" s="8">
        <f>+Tabla1[[#This Row],[Cilindros de Aire Seco]]-(SUMIF(ENTREGACILINDROSMESSER!D:D,Tabla1[[#This Row],[Num. Orden de compra]],ENTREGACILINDROSMESSER!H:H))</f>
        <v>0</v>
      </c>
      <c r="N39" s="29">
        <f>+Tabla1[[#This Row],[Cilindros de Aire Cero]]-(SUMIF(ENTREGACILINDROSMESSER!D:D,Tabla2[Num. Orden de compra],ENTREGACILINDROSMESSER!I:I))</f>
        <v>0</v>
      </c>
      <c r="O39" s="29">
        <f t="shared" si="0"/>
        <v>0</v>
      </c>
      <c r="V39" s="1" t="str">
        <f>+IFERROR(IF(Tabla3[[#This Row],[Cilindros totales pendientes]]&gt;0,1,""),"")</f>
        <v/>
      </c>
    </row>
    <row r="40" spans="3:22" x14ac:dyDescent="0.25">
      <c r="C40" s="2"/>
      <c r="D40" s="2"/>
      <c r="E40" s="2"/>
      <c r="F40" s="2"/>
      <c r="G40" s="2"/>
      <c r="H40" s="2"/>
      <c r="I40" s="2"/>
      <c r="J40" s="2">
        <f>+Tabla1[[#This Row],[Cilindros de Hidrogeno]]-(SUMIF(ENTREGACILINDROSMESSER!D:D,Tabla1[[#This Row],[Num. Orden de compra]],ENTREGACILINDROSMESSER!E:E))</f>
        <v>0</v>
      </c>
      <c r="K40" s="8">
        <f>+Tabla1[[#This Row],[Cilindros de Argòn ]]-(SUMIF(ENTREGACILINDROSMESSER!D:D,Tabla1[[#This Row],[Num. Orden de compra]],ENTREGACILINDROSMESSER!F:F))</f>
        <v>0</v>
      </c>
      <c r="L40" s="8">
        <f>+Tabla1[[#This Row],[Cilindros de Nitrogeno ]]-(SUMIF(ENTREGACILINDROSMESSER!D:D,Tabla1[[#This Row],[Num. Orden de compra]],ENTREGACILINDROSMESSER!G:G))</f>
        <v>0</v>
      </c>
      <c r="M40" s="8">
        <f>+Tabla1[[#This Row],[Cilindros de Aire Seco]]-(SUMIF(ENTREGACILINDROSMESSER!D:D,Tabla1[[#This Row],[Num. Orden de compra]],ENTREGACILINDROSMESSER!H:H))</f>
        <v>0</v>
      </c>
      <c r="N40" s="29">
        <f>+Tabla1[[#This Row],[Cilindros de Aire Cero]]-(SUMIF(ENTREGACILINDROSMESSER!D:D,Tabla2[Num. Orden de compra],ENTREGACILINDROSMESSER!I:I))</f>
        <v>0</v>
      </c>
      <c r="O40" s="29">
        <f t="shared" si="0"/>
        <v>0</v>
      </c>
      <c r="V40" s="1" t="str">
        <f>+IFERROR(IF(Tabla3[[#This Row],[Cilindros totales pendientes]]&gt;0,1,""),"")</f>
        <v/>
      </c>
    </row>
    <row r="41" spans="3:22" x14ac:dyDescent="0.25">
      <c r="C41" s="2"/>
      <c r="D41" s="2"/>
      <c r="E41" s="2"/>
      <c r="F41" s="2"/>
      <c r="G41" s="2"/>
      <c r="H41" s="2"/>
      <c r="I41" s="2"/>
      <c r="J41" s="2">
        <f>+Tabla1[[#This Row],[Cilindros de Hidrogeno]]-(SUMIF(ENTREGACILINDROSMESSER!D:D,Tabla1[[#This Row],[Num. Orden de compra]],ENTREGACILINDROSMESSER!E:E))</f>
        <v>0</v>
      </c>
      <c r="K41" s="8">
        <f>+Tabla1[[#This Row],[Cilindros de Argòn ]]-(SUMIF(ENTREGACILINDROSMESSER!D:D,Tabla1[[#This Row],[Num. Orden de compra]],ENTREGACILINDROSMESSER!F:F))</f>
        <v>0</v>
      </c>
      <c r="L41" s="8">
        <f>+Tabla1[[#This Row],[Cilindros de Nitrogeno ]]-(SUMIF(ENTREGACILINDROSMESSER!D:D,Tabla1[[#This Row],[Num. Orden de compra]],ENTREGACILINDROSMESSER!G:G))</f>
        <v>0</v>
      </c>
      <c r="M41" s="8">
        <f>+Tabla1[[#This Row],[Cilindros de Aire Seco]]-(SUMIF(ENTREGACILINDROSMESSER!D:D,Tabla1[[#This Row],[Num. Orden de compra]],ENTREGACILINDROSMESSER!H:H))</f>
        <v>0</v>
      </c>
      <c r="N41" s="29">
        <f>+Tabla1[[#This Row],[Cilindros de Aire Cero]]-(SUMIF(ENTREGACILINDROSMESSER!D:D,Tabla2[Num. Orden de compra],ENTREGACILINDROSMESSER!I:I))</f>
        <v>0</v>
      </c>
      <c r="O41" s="29">
        <f t="shared" si="0"/>
        <v>0</v>
      </c>
      <c r="V41" s="1" t="str">
        <f>+IFERROR(IF(Tabla3[[#This Row],[Cilindros totales pendientes]]&gt;0,1,""),"")</f>
        <v/>
      </c>
    </row>
    <row r="42" spans="3:22" x14ac:dyDescent="0.25">
      <c r="C42" s="2"/>
      <c r="D42" s="2"/>
      <c r="E42" s="2"/>
      <c r="F42" s="2"/>
      <c r="G42" s="2"/>
      <c r="H42" s="2"/>
      <c r="I42" s="2"/>
      <c r="J42" s="2">
        <f>+Tabla1[[#This Row],[Cilindros de Hidrogeno]]-(SUMIF(ENTREGACILINDROSMESSER!D:D,Tabla1[[#This Row],[Num. Orden de compra]],ENTREGACILINDROSMESSER!E:E))</f>
        <v>0</v>
      </c>
      <c r="K42" s="8">
        <f>+Tabla1[[#This Row],[Cilindros de Argòn ]]-(SUMIF(ENTREGACILINDROSMESSER!D:D,Tabla1[[#This Row],[Num. Orden de compra]],ENTREGACILINDROSMESSER!F:F))</f>
        <v>0</v>
      </c>
      <c r="L42" s="8">
        <f>+Tabla1[[#This Row],[Cilindros de Nitrogeno ]]-(SUMIF(ENTREGACILINDROSMESSER!D:D,Tabla1[[#This Row],[Num. Orden de compra]],ENTREGACILINDROSMESSER!G:G))</f>
        <v>0</v>
      </c>
      <c r="M42" s="8">
        <f>+Tabla1[[#This Row],[Cilindros de Aire Seco]]-(SUMIF(ENTREGACILINDROSMESSER!D:D,Tabla1[[#This Row],[Num. Orden de compra]],ENTREGACILINDROSMESSER!H:H))</f>
        <v>0</v>
      </c>
      <c r="N42" s="29">
        <f>+Tabla1[[#This Row],[Cilindros de Aire Cero]]-(SUMIF(ENTREGACILINDROSMESSER!D:D,Tabla2[Num. Orden de compra],ENTREGACILINDROSMESSER!I:I))</f>
        <v>0</v>
      </c>
      <c r="O42" s="29">
        <f t="shared" si="0"/>
        <v>0</v>
      </c>
      <c r="V42" s="1" t="str">
        <f>+IFERROR(IF(Tabla3[[#This Row],[Cilindros totales pendientes]]&gt;0,1,""),"")</f>
        <v/>
      </c>
    </row>
    <row r="43" spans="3:22" x14ac:dyDescent="0.25">
      <c r="C43" s="2"/>
      <c r="D43" s="2"/>
      <c r="E43" s="2"/>
      <c r="F43" s="2"/>
      <c r="G43" s="2"/>
      <c r="H43" s="2"/>
      <c r="I43" s="2"/>
      <c r="J43" s="2">
        <f>+Tabla1[[#This Row],[Cilindros de Hidrogeno]]-(SUMIF(ENTREGACILINDROSMESSER!D:D,Tabla1[[#This Row],[Num. Orden de compra]],ENTREGACILINDROSMESSER!E:E))</f>
        <v>0</v>
      </c>
      <c r="K43" s="8">
        <f>+Tabla1[[#This Row],[Cilindros de Argòn ]]-(SUMIF(ENTREGACILINDROSMESSER!D:D,Tabla1[[#This Row],[Num. Orden de compra]],ENTREGACILINDROSMESSER!F:F))</f>
        <v>0</v>
      </c>
      <c r="L43" s="8">
        <f>+Tabla1[[#This Row],[Cilindros de Nitrogeno ]]-(SUMIF(ENTREGACILINDROSMESSER!D:D,Tabla1[[#This Row],[Num. Orden de compra]],ENTREGACILINDROSMESSER!G:G))</f>
        <v>0</v>
      </c>
      <c r="M43" s="8">
        <f>+Tabla1[[#This Row],[Cilindros de Aire Seco]]-(SUMIF(ENTREGACILINDROSMESSER!D:D,Tabla1[[#This Row],[Num. Orden de compra]],ENTREGACILINDROSMESSER!H:H))</f>
        <v>0</v>
      </c>
      <c r="N43" s="29">
        <f>+Tabla1[[#This Row],[Cilindros de Aire Cero]]-(SUMIF(ENTREGACILINDROSMESSER!D:D,Tabla2[Num. Orden de compra],ENTREGACILINDROSMESSER!I:I))</f>
        <v>0</v>
      </c>
      <c r="O43" s="29">
        <f t="shared" si="0"/>
        <v>0</v>
      </c>
      <c r="V43" s="1" t="str">
        <f>+IFERROR(IF(Tabla3[[#This Row],[Cilindros totales pendientes]]&gt;0,1,""),"")</f>
        <v/>
      </c>
    </row>
    <row r="44" spans="3:22" x14ac:dyDescent="0.25">
      <c r="C44" s="2"/>
      <c r="D44" s="2"/>
      <c r="E44" s="2"/>
      <c r="F44" s="2"/>
      <c r="G44" s="2"/>
      <c r="H44" s="2"/>
      <c r="I44" s="2"/>
      <c r="J44" s="2">
        <f>+Tabla1[[#This Row],[Cilindros de Hidrogeno]]-(SUMIF(ENTREGACILINDROSMESSER!D:D,Tabla1[[#This Row],[Num. Orden de compra]],ENTREGACILINDROSMESSER!E:E))</f>
        <v>0</v>
      </c>
      <c r="K44" s="8">
        <f>+Tabla1[[#This Row],[Cilindros de Argòn ]]-(SUMIF(ENTREGACILINDROSMESSER!D:D,Tabla1[[#This Row],[Num. Orden de compra]],ENTREGACILINDROSMESSER!F:F))</f>
        <v>0</v>
      </c>
      <c r="L44" s="8">
        <f>+Tabla1[[#This Row],[Cilindros de Nitrogeno ]]-(SUMIF(ENTREGACILINDROSMESSER!D:D,Tabla1[[#This Row],[Num. Orden de compra]],ENTREGACILINDROSMESSER!G:G))</f>
        <v>0</v>
      </c>
      <c r="M44" s="8">
        <f>+Tabla1[[#This Row],[Cilindros de Aire Seco]]-(SUMIF(ENTREGACILINDROSMESSER!D:D,Tabla1[[#This Row],[Num. Orden de compra]],ENTREGACILINDROSMESSER!H:H))</f>
        <v>0</v>
      </c>
      <c r="N44" s="29">
        <f>+Tabla1[[#This Row],[Cilindros de Aire Cero]]-(SUMIF(ENTREGACILINDROSMESSER!D:D,Tabla2[Num. Orden de compra],ENTREGACILINDROSMESSER!I:I))</f>
        <v>0</v>
      </c>
      <c r="O44" s="29">
        <f t="shared" si="0"/>
        <v>0</v>
      </c>
      <c r="V44" s="1" t="str">
        <f>+IFERROR(IF(Tabla3[[#This Row],[Cilindros totales pendientes]]&gt;0,1,""),"")</f>
        <v/>
      </c>
    </row>
    <row r="45" spans="3:22" x14ac:dyDescent="0.25">
      <c r="C45" s="2"/>
      <c r="D45" s="2"/>
      <c r="E45" s="2"/>
      <c r="F45" s="2"/>
      <c r="G45" s="2"/>
      <c r="H45" s="2"/>
      <c r="I45" s="2"/>
      <c r="J45" s="2">
        <f>+Tabla1[[#This Row],[Cilindros de Hidrogeno]]-(SUMIF(ENTREGACILINDROSMESSER!D:D,Tabla1[[#This Row],[Num. Orden de compra]],ENTREGACILINDROSMESSER!E:E))</f>
        <v>0</v>
      </c>
      <c r="K45" s="8">
        <f>+Tabla1[[#This Row],[Cilindros de Argòn ]]-(SUMIF(ENTREGACILINDROSMESSER!D:D,Tabla1[[#This Row],[Num. Orden de compra]],ENTREGACILINDROSMESSER!F:F))</f>
        <v>0</v>
      </c>
      <c r="L45" s="8">
        <f>+Tabla1[[#This Row],[Cilindros de Nitrogeno ]]-(SUMIF(ENTREGACILINDROSMESSER!D:D,Tabla1[[#This Row],[Num. Orden de compra]],ENTREGACILINDROSMESSER!G:G))</f>
        <v>0</v>
      </c>
      <c r="M45" s="8">
        <f>+Tabla1[[#This Row],[Cilindros de Aire Seco]]-(SUMIF(ENTREGACILINDROSMESSER!D:D,Tabla1[[#This Row],[Num. Orden de compra]],ENTREGACILINDROSMESSER!H:H))</f>
        <v>0</v>
      </c>
      <c r="N45" s="29">
        <f>+Tabla1[[#This Row],[Cilindros de Aire Cero]]-(SUMIF(ENTREGACILINDROSMESSER!D:D,Tabla2[Num. Orden de compra],ENTREGACILINDROSMESSER!I:I))</f>
        <v>0</v>
      </c>
      <c r="O45" s="29">
        <f t="shared" si="0"/>
        <v>0</v>
      </c>
      <c r="V45" s="1" t="str">
        <f>+IFERROR(IF(Tabla3[[#This Row],[Cilindros totales pendientes]]&gt;0,1,""),"")</f>
        <v/>
      </c>
    </row>
    <row r="46" spans="3:22" x14ac:dyDescent="0.25">
      <c r="C46" s="2"/>
      <c r="D46" s="2"/>
      <c r="E46" s="2"/>
      <c r="F46" s="2"/>
      <c r="G46" s="2"/>
      <c r="H46" s="2"/>
      <c r="I46" s="2"/>
      <c r="J46" s="2">
        <f>+Tabla1[[#This Row],[Cilindros de Hidrogeno]]-(SUMIF(ENTREGACILINDROSMESSER!D:D,Tabla1[[#This Row],[Num. Orden de compra]],ENTREGACILINDROSMESSER!E:E))</f>
        <v>0</v>
      </c>
      <c r="K46" s="8">
        <f>+Tabla1[[#This Row],[Cilindros de Argòn ]]-(SUMIF(ENTREGACILINDROSMESSER!D:D,Tabla1[[#This Row],[Num. Orden de compra]],ENTREGACILINDROSMESSER!F:F))</f>
        <v>0</v>
      </c>
      <c r="L46" s="8">
        <f>+Tabla1[[#This Row],[Cilindros de Nitrogeno ]]-(SUMIF(ENTREGACILINDROSMESSER!D:D,Tabla1[[#This Row],[Num. Orden de compra]],ENTREGACILINDROSMESSER!G:G))</f>
        <v>0</v>
      </c>
      <c r="M46" s="8">
        <f>+Tabla1[[#This Row],[Cilindros de Aire Seco]]-(SUMIF(ENTREGACILINDROSMESSER!D:D,Tabla1[[#This Row],[Num. Orden de compra]],ENTREGACILINDROSMESSER!H:H))</f>
        <v>0</v>
      </c>
      <c r="N46" s="29">
        <f>+Tabla1[[#This Row],[Cilindros de Aire Cero]]-(SUMIF(ENTREGACILINDROSMESSER!D:D,Tabla2[Num. Orden de compra],ENTREGACILINDROSMESSER!I:I))</f>
        <v>0</v>
      </c>
      <c r="O46" s="29">
        <f t="shared" si="0"/>
        <v>0</v>
      </c>
      <c r="V46" s="1" t="str">
        <f>+IFERROR(IF(Tabla3[[#This Row],[Cilindros totales pendientes]]&gt;0,1,""),"")</f>
        <v/>
      </c>
    </row>
    <row r="47" spans="3:22" x14ac:dyDescent="0.25">
      <c r="C47" s="2"/>
      <c r="D47" s="2"/>
      <c r="E47" s="2"/>
      <c r="F47" s="2"/>
      <c r="G47" s="2"/>
      <c r="H47" s="2"/>
      <c r="I47" s="2"/>
      <c r="J47" s="2">
        <f>+Tabla1[[#This Row],[Cilindros de Hidrogeno]]-(SUMIF(ENTREGACILINDROSMESSER!D:D,Tabla1[[#This Row],[Num. Orden de compra]],ENTREGACILINDROSMESSER!E:E))</f>
        <v>0</v>
      </c>
      <c r="K47" s="8">
        <f>+Tabla1[[#This Row],[Cilindros de Argòn ]]-(SUMIF(ENTREGACILINDROSMESSER!D:D,Tabla1[[#This Row],[Num. Orden de compra]],ENTREGACILINDROSMESSER!F:F))</f>
        <v>0</v>
      </c>
      <c r="L47" s="8">
        <f>+Tabla1[[#This Row],[Cilindros de Nitrogeno ]]-(SUMIF(ENTREGACILINDROSMESSER!D:D,Tabla1[[#This Row],[Num. Orden de compra]],ENTREGACILINDROSMESSER!G:G))</f>
        <v>0</v>
      </c>
      <c r="M47" s="8">
        <f>+Tabla1[[#This Row],[Cilindros de Aire Seco]]-(SUMIF(ENTREGACILINDROSMESSER!D:D,Tabla1[[#This Row],[Num. Orden de compra]],ENTREGACILINDROSMESSER!H:H))</f>
        <v>0</v>
      </c>
      <c r="N47" s="29">
        <f>+Tabla1[[#This Row],[Cilindros de Aire Cero]]-(SUMIF(ENTREGACILINDROSMESSER!D:D,Tabla2[Num. Orden de compra],ENTREGACILINDROSMESSER!I:I))</f>
        <v>0</v>
      </c>
      <c r="O47" s="29">
        <f t="shared" si="0"/>
        <v>0</v>
      </c>
      <c r="V47" s="1" t="str">
        <f>+IFERROR(IF(Tabla3[[#This Row],[Cilindros totales pendientes]]&gt;0,1,""),"")</f>
        <v/>
      </c>
    </row>
    <row r="48" spans="3:22" x14ac:dyDescent="0.25">
      <c r="C48" s="2"/>
      <c r="D48" s="2"/>
      <c r="E48" s="2"/>
      <c r="F48" s="2"/>
      <c r="G48" s="2"/>
      <c r="H48" s="2"/>
      <c r="I48" s="2"/>
      <c r="J48" s="2">
        <f>+Tabla1[[#This Row],[Cilindros de Hidrogeno]]-(SUMIF(ENTREGACILINDROSMESSER!D:D,Tabla1[[#This Row],[Num. Orden de compra]],ENTREGACILINDROSMESSER!E:E))</f>
        <v>0</v>
      </c>
      <c r="K48" s="8">
        <f>+Tabla1[[#This Row],[Cilindros de Argòn ]]-(SUMIF(ENTREGACILINDROSMESSER!D:D,Tabla1[[#This Row],[Num. Orden de compra]],ENTREGACILINDROSMESSER!F:F))</f>
        <v>0</v>
      </c>
      <c r="L48" s="8">
        <f>+Tabla1[[#This Row],[Cilindros de Nitrogeno ]]-(SUMIF(ENTREGACILINDROSMESSER!D:D,Tabla1[[#This Row],[Num. Orden de compra]],ENTREGACILINDROSMESSER!G:G))</f>
        <v>0</v>
      </c>
      <c r="M48" s="8">
        <f>+Tabla1[[#This Row],[Cilindros de Aire Seco]]-(SUMIF(ENTREGACILINDROSMESSER!D:D,Tabla1[[#This Row],[Num. Orden de compra]],ENTREGACILINDROSMESSER!H:H))</f>
        <v>0</v>
      </c>
      <c r="N48" s="29">
        <f>+Tabla1[[#This Row],[Cilindros de Aire Cero]]-(SUMIF(ENTREGACILINDROSMESSER!D:D,Tabla2[Num. Orden de compra],ENTREGACILINDROSMESSER!I:I))</f>
        <v>0</v>
      </c>
      <c r="O48" s="29">
        <f t="shared" si="0"/>
        <v>0</v>
      </c>
      <c r="V48" s="1" t="str">
        <f>+IFERROR(IF(Tabla3[[#This Row],[Cilindros totales pendientes]]&gt;0,1,""),"")</f>
        <v/>
      </c>
    </row>
    <row r="49" spans="3:22" x14ac:dyDescent="0.25">
      <c r="C49" s="2"/>
      <c r="D49" s="2"/>
      <c r="E49" s="2"/>
      <c r="F49" s="2"/>
      <c r="G49" s="2"/>
      <c r="H49" s="2"/>
      <c r="I49" s="2"/>
      <c r="J49" s="2">
        <f>+Tabla1[[#This Row],[Cilindros de Hidrogeno]]-(SUMIF(ENTREGACILINDROSMESSER!D:D,Tabla1[[#This Row],[Num. Orden de compra]],ENTREGACILINDROSMESSER!E:E))</f>
        <v>0</v>
      </c>
      <c r="K49" s="8">
        <f>+Tabla1[[#This Row],[Cilindros de Argòn ]]-(SUMIF(ENTREGACILINDROSMESSER!D:D,Tabla1[[#This Row],[Num. Orden de compra]],ENTREGACILINDROSMESSER!F:F))</f>
        <v>0</v>
      </c>
      <c r="L49" s="8">
        <f>+Tabla1[[#This Row],[Cilindros de Nitrogeno ]]-(SUMIF(ENTREGACILINDROSMESSER!D:D,Tabla1[[#This Row],[Num. Orden de compra]],ENTREGACILINDROSMESSER!G:G))</f>
        <v>0</v>
      </c>
      <c r="M49" s="8">
        <f>+Tabla1[[#This Row],[Cilindros de Aire Seco]]-(SUMIF(ENTREGACILINDROSMESSER!D:D,Tabla1[[#This Row],[Num. Orden de compra]],ENTREGACILINDROSMESSER!H:H))</f>
        <v>0</v>
      </c>
      <c r="N49" s="29">
        <f>+Tabla1[[#This Row],[Cilindros de Aire Cero]]-(SUMIF(ENTREGACILINDROSMESSER!D:D,Tabla2[Num. Orden de compra],ENTREGACILINDROSMESSER!I:I))</f>
        <v>0</v>
      </c>
      <c r="O49" s="29">
        <f t="shared" si="0"/>
        <v>0</v>
      </c>
      <c r="V49" s="1" t="str">
        <f>+IFERROR(IF(Tabla3[[#This Row],[Cilindros totales pendientes]]&gt;0,1,""),"")</f>
        <v/>
      </c>
    </row>
    <row r="50" spans="3:22" x14ac:dyDescent="0.25">
      <c r="C50" s="2"/>
      <c r="D50" s="2"/>
      <c r="E50" s="2"/>
      <c r="F50" s="2"/>
      <c r="G50" s="2"/>
      <c r="H50" s="2"/>
      <c r="I50" s="2"/>
      <c r="J50" s="2">
        <f>+Tabla1[[#This Row],[Cilindros de Hidrogeno]]-(SUMIF(ENTREGACILINDROSMESSER!D:D,Tabla1[[#This Row],[Num. Orden de compra]],ENTREGACILINDROSMESSER!E:E))</f>
        <v>0</v>
      </c>
      <c r="K50" s="8">
        <f>+Tabla1[[#This Row],[Cilindros de Argòn ]]-(SUMIF(ENTREGACILINDROSMESSER!D:D,Tabla1[[#This Row],[Num. Orden de compra]],ENTREGACILINDROSMESSER!F:F))</f>
        <v>0</v>
      </c>
      <c r="L50" s="8">
        <f>+Tabla1[[#This Row],[Cilindros de Nitrogeno ]]-(SUMIF(ENTREGACILINDROSMESSER!D:D,Tabla1[[#This Row],[Num. Orden de compra]],ENTREGACILINDROSMESSER!G:G))</f>
        <v>0</v>
      </c>
      <c r="M50" s="8">
        <f>+Tabla1[[#This Row],[Cilindros de Aire Seco]]-(SUMIF(ENTREGACILINDROSMESSER!D:D,Tabla1[[#This Row],[Num. Orden de compra]],ENTREGACILINDROSMESSER!H:H))</f>
        <v>0</v>
      </c>
      <c r="N50" s="29">
        <f>+Tabla1[[#This Row],[Cilindros de Aire Cero]]-(SUMIF(ENTREGACILINDROSMESSER!D:D,Tabla2[Num. Orden de compra],ENTREGACILINDROSMESSER!I:I))</f>
        <v>0</v>
      </c>
      <c r="O50" s="29">
        <f t="shared" si="0"/>
        <v>0</v>
      </c>
      <c r="V50" s="1" t="str">
        <f>+IFERROR(IF(Tabla3[[#This Row],[Cilindros totales pendientes]]&gt;0,1,""),"")</f>
        <v/>
      </c>
    </row>
    <row r="51" spans="3:22" x14ac:dyDescent="0.25">
      <c r="C51" s="2"/>
      <c r="D51" s="2"/>
      <c r="E51" s="2"/>
      <c r="F51" s="2"/>
      <c r="G51" s="2"/>
      <c r="H51" s="2"/>
      <c r="I51" s="2"/>
      <c r="J51" s="2">
        <f>+Tabla1[[#This Row],[Cilindros de Hidrogeno]]-(SUMIF(ENTREGACILINDROSMESSER!D:D,Tabla1[[#This Row],[Num. Orden de compra]],ENTREGACILINDROSMESSER!E:E))</f>
        <v>0</v>
      </c>
      <c r="K51" s="8">
        <f>+Tabla1[[#This Row],[Cilindros de Argòn ]]-(SUMIF(ENTREGACILINDROSMESSER!D:D,Tabla1[[#This Row],[Num. Orden de compra]],ENTREGACILINDROSMESSER!F:F))</f>
        <v>0</v>
      </c>
      <c r="L51" s="8">
        <f>+Tabla1[[#This Row],[Cilindros de Nitrogeno ]]-(SUMIF(ENTREGACILINDROSMESSER!D:D,Tabla1[[#This Row],[Num. Orden de compra]],ENTREGACILINDROSMESSER!G:G))</f>
        <v>0</v>
      </c>
      <c r="M51" s="8">
        <f>+Tabla1[[#This Row],[Cilindros de Aire Seco]]-(SUMIF(ENTREGACILINDROSMESSER!D:D,Tabla1[[#This Row],[Num. Orden de compra]],ENTREGACILINDROSMESSER!H:H))</f>
        <v>0</v>
      </c>
      <c r="N51" s="29">
        <f>+Tabla1[[#This Row],[Cilindros de Aire Cero]]-(SUMIF(ENTREGACILINDROSMESSER!D:D,Tabla2[Num. Orden de compra],ENTREGACILINDROSMESSER!I:I))</f>
        <v>0</v>
      </c>
      <c r="O51" s="29">
        <f t="shared" si="0"/>
        <v>0</v>
      </c>
      <c r="V51" s="1" t="str">
        <f>+IFERROR(IF(Tabla3[[#This Row],[Cilindros totales pendientes]]&gt;0,1,""),"")</f>
        <v/>
      </c>
    </row>
    <row r="52" spans="3:22" x14ac:dyDescent="0.25">
      <c r="C52" s="2"/>
      <c r="D52" s="2"/>
      <c r="E52" s="2"/>
      <c r="F52" s="2"/>
      <c r="G52" s="2"/>
      <c r="H52" s="2"/>
      <c r="I52" s="2"/>
      <c r="J52" s="2">
        <f>+Tabla1[[#This Row],[Cilindros de Hidrogeno]]-(SUMIF(ENTREGACILINDROSMESSER!D:D,Tabla1[[#This Row],[Num. Orden de compra]],ENTREGACILINDROSMESSER!E:E))</f>
        <v>0</v>
      </c>
      <c r="K52" s="8">
        <f>+Tabla1[[#This Row],[Cilindros de Argòn ]]-(SUMIF(ENTREGACILINDROSMESSER!D:D,Tabla1[[#This Row],[Num. Orden de compra]],ENTREGACILINDROSMESSER!F:F))</f>
        <v>0</v>
      </c>
      <c r="L52" s="8">
        <f>+Tabla1[[#This Row],[Cilindros de Nitrogeno ]]-(SUMIF(ENTREGACILINDROSMESSER!D:D,Tabla1[[#This Row],[Num. Orden de compra]],ENTREGACILINDROSMESSER!G:G))</f>
        <v>0</v>
      </c>
      <c r="M52" s="8">
        <f>+Tabla1[[#This Row],[Cilindros de Aire Seco]]-(SUMIF(ENTREGACILINDROSMESSER!D:D,Tabla1[[#This Row],[Num. Orden de compra]],ENTREGACILINDROSMESSER!H:H))</f>
        <v>0</v>
      </c>
      <c r="N52" s="29">
        <f>+Tabla1[[#This Row],[Cilindros de Aire Cero]]-(SUMIF(ENTREGACILINDROSMESSER!D:D,Tabla2[Num. Orden de compra],ENTREGACILINDROSMESSER!I:I))</f>
        <v>0</v>
      </c>
      <c r="O52" s="29">
        <f t="shared" si="0"/>
        <v>0</v>
      </c>
      <c r="V52" s="1" t="str">
        <f>+IFERROR(IF(Tabla3[[#This Row],[Cilindros totales pendientes]]&gt;0,1,""),"")</f>
        <v/>
      </c>
    </row>
    <row r="53" spans="3:22" x14ac:dyDescent="0.25">
      <c r="C53" s="2"/>
      <c r="D53" s="2"/>
      <c r="E53" s="2"/>
      <c r="F53" s="2"/>
      <c r="G53" s="2"/>
      <c r="H53" s="2"/>
      <c r="I53" s="2"/>
      <c r="J53" s="2">
        <f>+Tabla1[[#This Row],[Cilindros de Hidrogeno]]-(SUMIF(ENTREGACILINDROSMESSER!D:D,Tabla1[[#This Row],[Num. Orden de compra]],ENTREGACILINDROSMESSER!E:E))</f>
        <v>0</v>
      </c>
      <c r="K53" s="8">
        <f>+Tabla1[[#This Row],[Cilindros de Argòn ]]-(SUMIF(ENTREGACILINDROSMESSER!D:D,Tabla1[[#This Row],[Num. Orden de compra]],ENTREGACILINDROSMESSER!F:F))</f>
        <v>0</v>
      </c>
      <c r="L53" s="8">
        <f>+Tabla1[[#This Row],[Cilindros de Nitrogeno ]]-(SUMIF(ENTREGACILINDROSMESSER!D:D,Tabla1[[#This Row],[Num. Orden de compra]],ENTREGACILINDROSMESSER!G:G))</f>
        <v>0</v>
      </c>
      <c r="M53" s="8">
        <f>+Tabla1[[#This Row],[Cilindros de Aire Seco]]-(SUMIF(ENTREGACILINDROSMESSER!D:D,Tabla1[[#This Row],[Num. Orden de compra]],ENTREGACILINDROSMESSER!H:H))</f>
        <v>0</v>
      </c>
      <c r="N53" s="29">
        <f>+Tabla1[[#This Row],[Cilindros de Aire Cero]]-(SUMIF(ENTREGACILINDROSMESSER!D:D,Tabla2[Num. Orden de compra],ENTREGACILINDROSMESSER!I:I))</f>
        <v>0</v>
      </c>
      <c r="O53" s="29">
        <f t="shared" si="0"/>
        <v>0</v>
      </c>
      <c r="V53" s="1" t="str">
        <f>+IFERROR(IF(Tabla3[[#This Row],[Cilindros totales pendientes]]&gt;0,1,""),"")</f>
        <v/>
      </c>
    </row>
    <row r="54" spans="3:22" x14ac:dyDescent="0.25">
      <c r="C54" s="2"/>
      <c r="D54" s="2"/>
      <c r="E54" s="2"/>
      <c r="F54" s="2"/>
      <c r="G54" s="2"/>
      <c r="H54" s="2"/>
      <c r="I54" s="2"/>
      <c r="J54" s="2">
        <f>+Tabla1[[#This Row],[Cilindros de Hidrogeno]]-(SUMIF(ENTREGACILINDROSMESSER!D:D,Tabla1[[#This Row],[Num. Orden de compra]],ENTREGACILINDROSMESSER!E:E))</f>
        <v>0</v>
      </c>
      <c r="K54" s="8">
        <f>+Tabla1[[#This Row],[Cilindros de Argòn ]]-(SUMIF(ENTREGACILINDROSMESSER!D:D,Tabla1[[#This Row],[Num. Orden de compra]],ENTREGACILINDROSMESSER!F:F))</f>
        <v>0</v>
      </c>
      <c r="L54" s="8">
        <f>+Tabla1[[#This Row],[Cilindros de Nitrogeno ]]-(SUMIF(ENTREGACILINDROSMESSER!D:D,Tabla1[[#This Row],[Num. Orden de compra]],ENTREGACILINDROSMESSER!G:G))</f>
        <v>0</v>
      </c>
      <c r="M54" s="8">
        <f>+Tabla1[[#This Row],[Cilindros de Aire Seco]]-(SUMIF(ENTREGACILINDROSMESSER!D:D,Tabla1[[#This Row],[Num. Orden de compra]],ENTREGACILINDROSMESSER!H:H))</f>
        <v>0</v>
      </c>
      <c r="N54" s="29">
        <f>+Tabla1[[#This Row],[Cilindros de Aire Cero]]-(SUMIF(ENTREGACILINDROSMESSER!D:D,Tabla2[Num. Orden de compra],ENTREGACILINDROSMESSER!I:I))</f>
        <v>0</v>
      </c>
      <c r="O54" s="29">
        <f t="shared" si="0"/>
        <v>0</v>
      </c>
      <c r="V54" s="1" t="str">
        <f>+IFERROR(IF(Tabla3[[#This Row],[Cilindros totales pendientes]]&gt;0,1,""),"")</f>
        <v/>
      </c>
    </row>
    <row r="55" spans="3:22" x14ac:dyDescent="0.25">
      <c r="C55" s="2"/>
      <c r="D55" s="2"/>
      <c r="E55" s="2"/>
      <c r="F55" s="2"/>
      <c r="G55" s="2"/>
      <c r="H55" s="2"/>
      <c r="I55" s="2"/>
      <c r="J55" s="2">
        <f>+Tabla1[[#This Row],[Cilindros de Hidrogeno]]-(SUMIF(ENTREGACILINDROSMESSER!D:D,Tabla1[[#This Row],[Num. Orden de compra]],ENTREGACILINDROSMESSER!E:E))</f>
        <v>0</v>
      </c>
      <c r="K55" s="8">
        <f>+Tabla1[[#This Row],[Cilindros de Argòn ]]-(SUMIF(ENTREGACILINDROSMESSER!D:D,Tabla1[[#This Row],[Num. Orden de compra]],ENTREGACILINDROSMESSER!F:F))</f>
        <v>0</v>
      </c>
      <c r="L55" s="8">
        <f>+Tabla1[[#This Row],[Cilindros de Nitrogeno ]]-(SUMIF(ENTREGACILINDROSMESSER!D:D,Tabla1[[#This Row],[Num. Orden de compra]],ENTREGACILINDROSMESSER!G:G))</f>
        <v>0</v>
      </c>
      <c r="M55" s="8">
        <f>+Tabla1[[#This Row],[Cilindros de Aire Seco]]-(SUMIF(ENTREGACILINDROSMESSER!D:D,Tabla1[[#This Row],[Num. Orden de compra]],ENTREGACILINDROSMESSER!H:H))</f>
        <v>0</v>
      </c>
      <c r="N55" s="29">
        <f>+Tabla1[[#This Row],[Cilindros de Aire Cero]]-(SUMIF(ENTREGACILINDROSMESSER!D:D,Tabla2[Num. Orden de compra],ENTREGACILINDROSMESSER!I:I))</f>
        <v>0</v>
      </c>
      <c r="O55" s="29">
        <f t="shared" si="0"/>
        <v>0</v>
      </c>
      <c r="V55" s="1" t="str">
        <f>+IFERROR(IF(Tabla3[[#This Row],[Cilindros totales pendientes]]&gt;0,1,""),"")</f>
        <v/>
      </c>
    </row>
    <row r="56" spans="3:22" x14ac:dyDescent="0.25">
      <c r="C56" s="2"/>
      <c r="D56" s="2"/>
      <c r="E56" s="2"/>
      <c r="F56" s="2"/>
      <c r="G56" s="2"/>
      <c r="H56" s="2"/>
      <c r="I56" s="2"/>
      <c r="J56" s="2">
        <f>+Tabla1[[#This Row],[Cilindros de Hidrogeno]]-(SUMIF(ENTREGACILINDROSMESSER!D:D,Tabla1[[#This Row],[Num. Orden de compra]],ENTREGACILINDROSMESSER!E:E))</f>
        <v>0</v>
      </c>
      <c r="K56" s="8">
        <f>+Tabla1[[#This Row],[Cilindros de Argòn ]]-(SUMIF(ENTREGACILINDROSMESSER!D:D,Tabla1[[#This Row],[Num. Orden de compra]],ENTREGACILINDROSMESSER!F:F))</f>
        <v>0</v>
      </c>
      <c r="L56" s="8">
        <f>+Tabla1[[#This Row],[Cilindros de Nitrogeno ]]-(SUMIF(ENTREGACILINDROSMESSER!D:D,Tabla1[[#This Row],[Num. Orden de compra]],ENTREGACILINDROSMESSER!G:G))</f>
        <v>0</v>
      </c>
      <c r="M56" s="8">
        <f>+Tabla1[[#This Row],[Cilindros de Aire Seco]]-(SUMIF(ENTREGACILINDROSMESSER!D:D,Tabla1[[#This Row],[Num. Orden de compra]],ENTREGACILINDROSMESSER!H:H))</f>
        <v>0</v>
      </c>
      <c r="N56" s="29">
        <f>+Tabla1[[#This Row],[Cilindros de Aire Cero]]-(SUMIF(ENTREGACILINDROSMESSER!D:D,Tabla2[Num. Orden de compra],ENTREGACILINDROSMESSER!I:I))</f>
        <v>0</v>
      </c>
      <c r="O56" s="29">
        <f t="shared" si="0"/>
        <v>0</v>
      </c>
      <c r="V56" s="1" t="str">
        <f>+IFERROR(IF(Tabla3[[#This Row],[Cilindros totales pendientes]]&gt;0,1,""),"")</f>
        <v/>
      </c>
    </row>
    <row r="57" spans="3:22" x14ac:dyDescent="0.25">
      <c r="C57" s="2"/>
      <c r="D57" s="2"/>
      <c r="E57" s="2"/>
      <c r="F57" s="2"/>
      <c r="G57" s="2"/>
      <c r="H57" s="2"/>
      <c r="I57" s="2"/>
      <c r="J57" s="2">
        <f>+Tabla1[[#This Row],[Cilindros de Hidrogeno]]-(SUMIF(ENTREGACILINDROSMESSER!D:D,Tabla1[[#This Row],[Num. Orden de compra]],ENTREGACILINDROSMESSER!E:E))</f>
        <v>0</v>
      </c>
      <c r="K57" s="8">
        <f>+Tabla1[[#This Row],[Cilindros de Argòn ]]-(SUMIF(ENTREGACILINDROSMESSER!D:D,Tabla1[[#This Row],[Num. Orden de compra]],ENTREGACILINDROSMESSER!F:F))</f>
        <v>0</v>
      </c>
      <c r="L57" s="8">
        <f>+Tabla1[[#This Row],[Cilindros de Nitrogeno ]]-(SUMIF(ENTREGACILINDROSMESSER!D:D,Tabla1[[#This Row],[Num. Orden de compra]],ENTREGACILINDROSMESSER!G:G))</f>
        <v>0</v>
      </c>
      <c r="M57" s="8">
        <f>+Tabla1[[#This Row],[Cilindros de Aire Seco]]-(SUMIF(ENTREGACILINDROSMESSER!D:D,Tabla1[[#This Row],[Num. Orden de compra]],ENTREGACILINDROSMESSER!H:H))</f>
        <v>0</v>
      </c>
      <c r="N57" s="29">
        <f>+Tabla1[[#This Row],[Cilindros de Aire Cero]]-(SUMIF(ENTREGACILINDROSMESSER!D:D,Tabla2[Num. Orden de compra],ENTREGACILINDROSMESSER!I:I))</f>
        <v>0</v>
      </c>
      <c r="O57" s="29">
        <f t="shared" si="0"/>
        <v>0</v>
      </c>
      <c r="V57" s="1" t="str">
        <f>+IFERROR(IF(Tabla3[[#This Row],[Cilindros totales pendientes]]&gt;0,1,""),"")</f>
        <v/>
      </c>
    </row>
    <row r="58" spans="3:22" x14ac:dyDescent="0.25">
      <c r="C58" s="2"/>
      <c r="D58" s="2"/>
      <c r="E58" s="2"/>
      <c r="F58" s="2"/>
      <c r="G58" s="2"/>
      <c r="H58" s="2"/>
      <c r="I58" s="2"/>
      <c r="J58" s="2">
        <f>+Tabla1[[#This Row],[Cilindros de Hidrogeno]]-(SUMIF(ENTREGACILINDROSMESSER!D:D,Tabla1[[#This Row],[Num. Orden de compra]],ENTREGACILINDROSMESSER!E:E))</f>
        <v>0</v>
      </c>
      <c r="K58" s="8">
        <f>+Tabla1[[#This Row],[Cilindros de Argòn ]]-(SUMIF(ENTREGACILINDROSMESSER!D:D,Tabla1[[#This Row],[Num. Orden de compra]],ENTREGACILINDROSMESSER!F:F))</f>
        <v>0</v>
      </c>
      <c r="L58" s="8">
        <f>+Tabla1[[#This Row],[Cilindros de Nitrogeno ]]-(SUMIF(ENTREGACILINDROSMESSER!D:D,Tabla1[[#This Row],[Num. Orden de compra]],ENTREGACILINDROSMESSER!G:G))</f>
        <v>0</v>
      </c>
      <c r="M58" s="8">
        <f>+Tabla1[[#This Row],[Cilindros de Aire Seco]]-(SUMIF(ENTREGACILINDROSMESSER!D:D,Tabla1[[#This Row],[Num. Orden de compra]],ENTREGACILINDROSMESSER!H:H))</f>
        <v>0</v>
      </c>
      <c r="N58" s="29">
        <f>+Tabla1[[#This Row],[Cilindros de Aire Cero]]-(SUMIF(ENTREGACILINDROSMESSER!D:D,Tabla2[Num. Orden de compra],ENTREGACILINDROSMESSER!I:I))</f>
        <v>0</v>
      </c>
      <c r="O58" s="29">
        <f t="shared" si="0"/>
        <v>0</v>
      </c>
      <c r="V58" s="1" t="str">
        <f>+IFERROR(IF(Tabla3[[#This Row],[Cilindros totales pendientes]]&gt;0,1,""),"")</f>
        <v/>
      </c>
    </row>
    <row r="59" spans="3:22" x14ac:dyDescent="0.25">
      <c r="C59" s="2"/>
      <c r="D59" s="2"/>
      <c r="E59" s="2"/>
      <c r="F59" s="2"/>
      <c r="G59" s="2"/>
      <c r="H59" s="2"/>
      <c r="I59" s="2"/>
      <c r="J59" s="2">
        <f>+Tabla1[[#This Row],[Cilindros de Hidrogeno]]-(SUMIF(ENTREGACILINDROSMESSER!D:D,Tabla1[[#This Row],[Num. Orden de compra]],ENTREGACILINDROSMESSER!E:E))</f>
        <v>0</v>
      </c>
      <c r="K59" s="8">
        <f>+Tabla1[[#This Row],[Cilindros de Argòn ]]-(SUMIF(ENTREGACILINDROSMESSER!D:D,Tabla1[[#This Row],[Num. Orden de compra]],ENTREGACILINDROSMESSER!F:F))</f>
        <v>0</v>
      </c>
      <c r="L59" s="8">
        <f>+Tabla1[[#This Row],[Cilindros de Nitrogeno ]]-(SUMIF(ENTREGACILINDROSMESSER!D:D,Tabla1[[#This Row],[Num. Orden de compra]],ENTREGACILINDROSMESSER!G:G))</f>
        <v>0</v>
      </c>
      <c r="M59" s="8">
        <f>+Tabla1[[#This Row],[Cilindros de Aire Seco]]-(SUMIF(ENTREGACILINDROSMESSER!D:D,Tabla1[[#This Row],[Num. Orden de compra]],ENTREGACILINDROSMESSER!H:H))</f>
        <v>0</v>
      </c>
      <c r="N59" s="29">
        <f>+Tabla1[[#This Row],[Cilindros de Aire Cero]]-(SUMIF(ENTREGACILINDROSMESSER!D:D,Tabla2[Num. Orden de compra],ENTREGACILINDROSMESSER!I:I))</f>
        <v>0</v>
      </c>
      <c r="O59" s="29">
        <f t="shared" si="0"/>
        <v>0</v>
      </c>
      <c r="V59" s="1" t="str">
        <f>+IFERROR(IF(Tabla3[[#This Row],[Cilindros totales pendientes]]&gt;0,1,""),"")</f>
        <v/>
      </c>
    </row>
    <row r="60" spans="3:22" x14ac:dyDescent="0.25">
      <c r="C60" s="2"/>
      <c r="D60" s="2"/>
      <c r="E60" s="2"/>
      <c r="F60" s="2"/>
      <c r="G60" s="2"/>
      <c r="H60" s="2"/>
      <c r="I60" s="2"/>
      <c r="J60" s="2">
        <f>+Tabla1[[#This Row],[Cilindros de Hidrogeno]]-(SUMIF(ENTREGACILINDROSMESSER!D:D,Tabla1[[#This Row],[Num. Orden de compra]],ENTREGACILINDROSMESSER!E:E))</f>
        <v>0</v>
      </c>
      <c r="K60" s="8">
        <f>+Tabla1[[#This Row],[Cilindros de Argòn ]]-(SUMIF(ENTREGACILINDROSMESSER!D:D,Tabla1[[#This Row],[Num. Orden de compra]],ENTREGACILINDROSMESSER!F:F))</f>
        <v>0</v>
      </c>
      <c r="L60" s="8">
        <f>+Tabla1[[#This Row],[Cilindros de Nitrogeno ]]-(SUMIF(ENTREGACILINDROSMESSER!D:D,Tabla1[[#This Row],[Num. Orden de compra]],ENTREGACILINDROSMESSER!G:G))</f>
        <v>0</v>
      </c>
      <c r="M60" s="8">
        <f>+Tabla1[[#This Row],[Cilindros de Aire Seco]]-(SUMIF(ENTREGACILINDROSMESSER!D:D,Tabla1[[#This Row],[Num. Orden de compra]],ENTREGACILINDROSMESSER!H:H))</f>
        <v>0</v>
      </c>
      <c r="N60" s="29">
        <f>+Tabla1[[#This Row],[Cilindros de Aire Cero]]-(SUMIF(ENTREGACILINDROSMESSER!D:D,Tabla2[Num. Orden de compra],ENTREGACILINDROSMESSER!I:I))</f>
        <v>0</v>
      </c>
      <c r="O60" s="29">
        <f t="shared" si="0"/>
        <v>0</v>
      </c>
      <c r="V60" s="1" t="str">
        <f>+IFERROR(IF(Tabla3[[#This Row],[Cilindros totales pendientes]]&gt;0,1,""),"")</f>
        <v/>
      </c>
    </row>
    <row r="61" spans="3:22" x14ac:dyDescent="0.25">
      <c r="C61" s="2"/>
      <c r="D61" s="2"/>
      <c r="E61" s="2"/>
      <c r="F61" s="2"/>
      <c r="G61" s="2"/>
      <c r="H61" s="2"/>
      <c r="I61" s="2"/>
      <c r="J61" s="2">
        <f>+Tabla1[[#This Row],[Cilindros de Hidrogeno]]-(SUMIF(ENTREGACILINDROSMESSER!D:D,Tabla1[[#This Row],[Num. Orden de compra]],ENTREGACILINDROSMESSER!E:E))</f>
        <v>0</v>
      </c>
      <c r="K61" s="8">
        <f>+Tabla1[[#This Row],[Cilindros de Argòn ]]-(SUMIF(ENTREGACILINDROSMESSER!D:D,Tabla1[[#This Row],[Num. Orden de compra]],ENTREGACILINDROSMESSER!F:F))</f>
        <v>0</v>
      </c>
      <c r="L61" s="8">
        <f>+Tabla1[[#This Row],[Cilindros de Nitrogeno ]]-(SUMIF(ENTREGACILINDROSMESSER!D:D,Tabla1[[#This Row],[Num. Orden de compra]],ENTREGACILINDROSMESSER!G:G))</f>
        <v>0</v>
      </c>
      <c r="M61" s="8">
        <f>+Tabla1[[#This Row],[Cilindros de Aire Seco]]-(SUMIF(ENTREGACILINDROSMESSER!D:D,Tabla1[[#This Row],[Num. Orden de compra]],ENTREGACILINDROSMESSER!H:H))</f>
        <v>0</v>
      </c>
      <c r="N61" s="29">
        <f>+Tabla1[[#This Row],[Cilindros de Aire Cero]]-(SUMIF(ENTREGACILINDROSMESSER!D:D,Tabla2[Num. Orden de compra],ENTREGACILINDROSMESSER!I:I))</f>
        <v>0</v>
      </c>
      <c r="O61" s="29">
        <f t="shared" si="0"/>
        <v>0</v>
      </c>
      <c r="V61" s="1" t="str">
        <f>+IFERROR(IF(Tabla3[[#This Row],[Cilindros totales pendientes]]&gt;0,1,""),"")</f>
        <v/>
      </c>
    </row>
    <row r="62" spans="3:22" x14ac:dyDescent="0.25">
      <c r="C62" s="2"/>
      <c r="D62" s="2"/>
      <c r="E62" s="2"/>
      <c r="F62" s="2"/>
      <c r="G62" s="2"/>
      <c r="H62" s="2"/>
      <c r="I62" s="2"/>
      <c r="J62" s="2">
        <f>+Tabla1[[#This Row],[Cilindros de Hidrogeno]]-(SUMIF(ENTREGACILINDROSMESSER!D:D,Tabla1[[#This Row],[Num. Orden de compra]],ENTREGACILINDROSMESSER!E:E))</f>
        <v>0</v>
      </c>
      <c r="K62" s="8">
        <f>+Tabla1[[#This Row],[Cilindros de Argòn ]]-(SUMIF(ENTREGACILINDROSMESSER!D:D,Tabla1[[#This Row],[Num. Orden de compra]],ENTREGACILINDROSMESSER!F:F))</f>
        <v>0</v>
      </c>
      <c r="L62" s="8">
        <f>+Tabla1[[#This Row],[Cilindros de Nitrogeno ]]-(SUMIF(ENTREGACILINDROSMESSER!D:D,Tabla1[[#This Row],[Num. Orden de compra]],ENTREGACILINDROSMESSER!G:G))</f>
        <v>0</v>
      </c>
      <c r="M62" s="8">
        <f>+Tabla1[[#This Row],[Cilindros de Aire Seco]]-(SUMIF(ENTREGACILINDROSMESSER!D:D,Tabla1[[#This Row],[Num. Orden de compra]],ENTREGACILINDROSMESSER!H:H))</f>
        <v>0</v>
      </c>
      <c r="N62" s="29">
        <f>+Tabla1[[#This Row],[Cilindros de Aire Cero]]-(SUMIF(ENTREGACILINDROSMESSER!D:D,Tabla2[Num. Orden de compra],ENTREGACILINDROSMESSER!I:I))</f>
        <v>0</v>
      </c>
      <c r="O62" s="29">
        <f t="shared" si="0"/>
        <v>0</v>
      </c>
      <c r="V62" s="1" t="str">
        <f>+IFERROR(IF(Tabla3[[#This Row],[Cilindros totales pendientes]]&gt;0,1,""),"")</f>
        <v/>
      </c>
    </row>
    <row r="63" spans="3:22" x14ac:dyDescent="0.25">
      <c r="C63" s="2"/>
      <c r="D63" s="2"/>
      <c r="E63" s="2"/>
      <c r="F63" s="2"/>
      <c r="G63" s="2"/>
      <c r="H63" s="2"/>
      <c r="I63" s="2"/>
      <c r="J63" s="2">
        <f>+Tabla1[[#This Row],[Cilindros de Hidrogeno]]-(SUMIF(ENTREGACILINDROSMESSER!D:D,Tabla1[[#This Row],[Num. Orden de compra]],ENTREGACILINDROSMESSER!E:E))</f>
        <v>0</v>
      </c>
      <c r="K63" s="8">
        <f>+Tabla1[[#This Row],[Cilindros de Argòn ]]-(SUMIF(ENTREGACILINDROSMESSER!D:D,Tabla1[[#This Row],[Num. Orden de compra]],ENTREGACILINDROSMESSER!F:F))</f>
        <v>0</v>
      </c>
      <c r="L63" s="8">
        <f>+Tabla1[[#This Row],[Cilindros de Nitrogeno ]]-(SUMIF(ENTREGACILINDROSMESSER!D:D,Tabla1[[#This Row],[Num. Orden de compra]],ENTREGACILINDROSMESSER!G:G))</f>
        <v>0</v>
      </c>
      <c r="M63" s="8">
        <f>+Tabla1[[#This Row],[Cilindros de Aire Seco]]-(SUMIF(ENTREGACILINDROSMESSER!D:D,Tabla1[[#This Row],[Num. Orden de compra]],ENTREGACILINDROSMESSER!H:H))</f>
        <v>0</v>
      </c>
      <c r="N63" s="29">
        <f>+Tabla1[[#This Row],[Cilindros de Aire Cero]]-(SUMIF(ENTREGACILINDROSMESSER!D:D,Tabla2[Num. Orden de compra],ENTREGACILINDROSMESSER!I:I))</f>
        <v>0</v>
      </c>
      <c r="O63" s="29">
        <f t="shared" si="0"/>
        <v>0</v>
      </c>
      <c r="V63" s="1" t="str">
        <f>+IFERROR(IF(Tabla3[[#This Row],[Cilindros totales pendientes]]&gt;0,1,""),"")</f>
        <v/>
      </c>
    </row>
    <row r="64" spans="3:22" x14ac:dyDescent="0.25">
      <c r="C64" s="2"/>
      <c r="D64" s="2"/>
      <c r="E64" s="2"/>
      <c r="F64" s="2"/>
      <c r="G64" s="2"/>
      <c r="H64" s="2"/>
      <c r="I64" s="2"/>
      <c r="J64" s="2">
        <f>+Tabla1[[#This Row],[Cilindros de Hidrogeno]]-(SUMIF(ENTREGACILINDROSMESSER!D:D,Tabla1[[#This Row],[Num. Orden de compra]],ENTREGACILINDROSMESSER!E:E))</f>
        <v>0</v>
      </c>
      <c r="K64" s="8">
        <f>+Tabla1[[#This Row],[Cilindros de Argòn ]]-(SUMIF(ENTREGACILINDROSMESSER!D:D,Tabla1[[#This Row],[Num. Orden de compra]],ENTREGACILINDROSMESSER!F:F))</f>
        <v>0</v>
      </c>
      <c r="L64" s="8">
        <f>+Tabla1[[#This Row],[Cilindros de Nitrogeno ]]-(SUMIF(ENTREGACILINDROSMESSER!D:D,Tabla1[[#This Row],[Num. Orden de compra]],ENTREGACILINDROSMESSER!G:G))</f>
        <v>0</v>
      </c>
      <c r="M64" s="8">
        <f>+Tabla1[[#This Row],[Cilindros de Aire Seco]]-(SUMIF(ENTREGACILINDROSMESSER!D:D,Tabla1[[#This Row],[Num. Orden de compra]],ENTREGACILINDROSMESSER!H:H))</f>
        <v>0</v>
      </c>
      <c r="N64" s="29">
        <f>+Tabla1[[#This Row],[Cilindros de Aire Cero]]-(SUMIF(ENTREGACILINDROSMESSER!D:D,Tabla2[Num. Orden de compra],ENTREGACILINDROSMESSER!I:I))</f>
        <v>0</v>
      </c>
      <c r="O64" s="29">
        <f t="shared" si="0"/>
        <v>0</v>
      </c>
      <c r="V64" s="1" t="str">
        <f>+IFERROR(IF(Tabla3[[#This Row],[Cilindros totales pendientes]]&gt;0,1,""),"")</f>
        <v/>
      </c>
    </row>
    <row r="65" spans="3:22" x14ac:dyDescent="0.25">
      <c r="C65" s="2"/>
      <c r="D65" s="2"/>
      <c r="E65" s="2"/>
      <c r="F65" s="2"/>
      <c r="G65" s="2"/>
      <c r="H65" s="2"/>
      <c r="I65" s="2"/>
      <c r="J65" s="2">
        <f>+Tabla1[[#This Row],[Cilindros de Hidrogeno]]-(SUMIF(ENTREGACILINDROSMESSER!D:D,Tabla1[[#This Row],[Num. Orden de compra]],ENTREGACILINDROSMESSER!E:E))</f>
        <v>0</v>
      </c>
      <c r="K65" s="8">
        <f>+Tabla1[[#This Row],[Cilindros de Argòn ]]-(SUMIF(ENTREGACILINDROSMESSER!D:D,Tabla1[[#This Row],[Num. Orden de compra]],ENTREGACILINDROSMESSER!F:F))</f>
        <v>0</v>
      </c>
      <c r="L65" s="8">
        <f>+Tabla1[[#This Row],[Cilindros de Nitrogeno ]]-(SUMIF(ENTREGACILINDROSMESSER!D:D,Tabla1[[#This Row],[Num. Orden de compra]],ENTREGACILINDROSMESSER!G:G))</f>
        <v>0</v>
      </c>
      <c r="M65" s="8">
        <f>+Tabla1[[#This Row],[Cilindros de Aire Seco]]-(SUMIF(ENTREGACILINDROSMESSER!D:D,Tabla1[[#This Row],[Num. Orden de compra]],ENTREGACILINDROSMESSER!H:H))</f>
        <v>0</v>
      </c>
      <c r="N65" s="29">
        <f>+Tabla1[[#This Row],[Cilindros de Aire Cero]]-(SUMIF(ENTREGACILINDROSMESSER!D:D,Tabla2[Num. Orden de compra],ENTREGACILINDROSMESSER!I:I))</f>
        <v>0</v>
      </c>
      <c r="O65" s="29">
        <f t="shared" si="0"/>
        <v>0</v>
      </c>
      <c r="V65" s="1" t="str">
        <f>+IFERROR(IF(Tabla3[[#This Row],[Cilindros totales pendientes]]&gt;0,1,""),"")</f>
        <v/>
      </c>
    </row>
    <row r="66" spans="3:22" x14ac:dyDescent="0.25">
      <c r="C66" s="2"/>
      <c r="D66" s="2"/>
      <c r="E66" s="2"/>
      <c r="F66" s="2"/>
      <c r="G66" s="2"/>
      <c r="H66" s="2"/>
      <c r="I66" s="2"/>
      <c r="J66" s="2">
        <f>+Tabla1[[#This Row],[Cilindros de Hidrogeno]]-(SUMIF(ENTREGACILINDROSMESSER!D:D,Tabla1[[#This Row],[Num. Orden de compra]],ENTREGACILINDROSMESSER!E:E))</f>
        <v>0</v>
      </c>
      <c r="K66" s="29">
        <f>+Tabla1[[#This Row],[Cilindros de Argòn ]]-(SUMIF(ENTREGACILINDROSMESSER!D:D,Tabla1[[#This Row],[Num. Orden de compra]],ENTREGACILINDROSMESSER!F:F))</f>
        <v>0</v>
      </c>
      <c r="L66" s="29">
        <f>+Tabla1[[#This Row],[Cilindros de Nitrogeno ]]-(SUMIF(ENTREGACILINDROSMESSER!D:D,Tabla1[[#This Row],[Num. Orden de compra]],ENTREGACILINDROSMESSER!G:G))</f>
        <v>0</v>
      </c>
      <c r="M66" s="29">
        <f>+Tabla1[[#This Row],[Cilindros de Aire Seco]]-(SUMIF(ENTREGACILINDROSMESSER!D:D,Tabla1[[#This Row],[Num. Orden de compra]],ENTREGACILINDROSMESSER!H:H))</f>
        <v>0</v>
      </c>
      <c r="N66" s="29">
        <f>+Tabla1[[#This Row],[Cilindros de Aire Cero]]-(SUMIF(ENTREGACILINDROSMESSER!D:D,Tabla2[Num. Orden de compra],ENTREGACILINDROSMESSER!I:I))</f>
        <v>0</v>
      </c>
      <c r="O66" s="29">
        <f t="shared" si="0"/>
        <v>0</v>
      </c>
      <c r="V66" s="1" t="str">
        <f>+IFERROR(IF(Tabla3[[#This Row],[Cilindros totales pendientes]]&gt;0,1,""),"")</f>
        <v/>
      </c>
    </row>
    <row r="67" spans="3:22" x14ac:dyDescent="0.25">
      <c r="C67" s="2"/>
      <c r="D67" s="2"/>
      <c r="E67" s="2"/>
      <c r="F67" s="2"/>
      <c r="G67" s="2"/>
      <c r="H67" s="2"/>
      <c r="I67" s="2"/>
      <c r="J67" s="2">
        <f>+Tabla1[[#This Row],[Cilindros de Hidrogeno]]-(SUMIF(ENTREGACILINDROSMESSER!D:D,Tabla1[[#This Row],[Num. Orden de compra]],ENTREGACILINDROSMESSER!E:E))</f>
        <v>0</v>
      </c>
      <c r="K67" s="29">
        <f>+Tabla1[[#This Row],[Cilindros de Argòn ]]-(SUMIF(ENTREGACILINDROSMESSER!D:D,Tabla1[[#This Row],[Num. Orden de compra]],ENTREGACILINDROSMESSER!F:F))</f>
        <v>0</v>
      </c>
      <c r="L67" s="29">
        <f>+Tabla1[[#This Row],[Cilindros de Nitrogeno ]]-(SUMIF(ENTREGACILINDROSMESSER!D:D,Tabla1[[#This Row],[Num. Orden de compra]],ENTREGACILINDROSMESSER!G:G))</f>
        <v>0</v>
      </c>
      <c r="M67" s="29">
        <f>+Tabla1[[#This Row],[Cilindros de Aire Seco]]-(SUMIF(ENTREGACILINDROSMESSER!D:D,Tabla1[[#This Row],[Num. Orden de compra]],ENTREGACILINDROSMESSER!H:H))</f>
        <v>0</v>
      </c>
      <c r="N67" s="29">
        <f>+Tabla1[[#This Row],[Cilindros de Aire Cero]]-(SUMIF(ENTREGACILINDROSMESSER!D:D,Tabla2[Num. Orden de compra],ENTREGACILINDROSMESSER!I:I))</f>
        <v>0</v>
      </c>
      <c r="O67" s="29">
        <f t="shared" si="0"/>
        <v>0</v>
      </c>
      <c r="V67" s="1" t="str">
        <f>+IFERROR(IF(Tabla3[[#This Row],[Cilindros totales pendientes]]&gt;0,1,""),"")</f>
        <v/>
      </c>
    </row>
    <row r="68" spans="3:22" x14ac:dyDescent="0.25">
      <c r="C68" s="2"/>
      <c r="D68" s="2"/>
      <c r="E68" s="2"/>
      <c r="F68" s="2"/>
      <c r="G68" s="2"/>
      <c r="H68" s="2"/>
      <c r="I68" s="2"/>
      <c r="J68" s="2">
        <f>+Tabla1[[#This Row],[Cilindros de Hidrogeno]]-(SUMIF(ENTREGACILINDROSMESSER!D:D,Tabla1[[#This Row],[Num. Orden de compra]],ENTREGACILINDROSMESSER!E:E))</f>
        <v>0</v>
      </c>
      <c r="K68" s="29">
        <f>+Tabla1[[#This Row],[Cilindros de Argòn ]]-(SUMIF(ENTREGACILINDROSMESSER!D:D,Tabla1[[#This Row],[Num. Orden de compra]],ENTREGACILINDROSMESSER!F:F))</f>
        <v>0</v>
      </c>
      <c r="L68" s="29">
        <f>+Tabla1[[#This Row],[Cilindros de Nitrogeno ]]-(SUMIF(ENTREGACILINDROSMESSER!D:D,Tabla1[[#This Row],[Num. Orden de compra]],ENTREGACILINDROSMESSER!G:G))</f>
        <v>0</v>
      </c>
      <c r="M68" s="29">
        <f>+Tabla1[[#This Row],[Cilindros de Aire Seco]]-(SUMIF(ENTREGACILINDROSMESSER!D:D,Tabla1[[#This Row],[Num. Orden de compra]],ENTREGACILINDROSMESSER!H:H))</f>
        <v>0</v>
      </c>
      <c r="N68" s="29">
        <f>+Tabla1[[#This Row],[Cilindros de Aire Cero]]-(SUMIF(ENTREGACILINDROSMESSER!D:D,Tabla2[Num. Orden de compra],ENTREGACILINDROSMESSER!I:I))</f>
        <v>0</v>
      </c>
      <c r="O68" s="29">
        <f t="shared" si="0"/>
        <v>0</v>
      </c>
      <c r="V68" s="1" t="str">
        <f>+IFERROR(IF(Tabla3[[#This Row],[Cilindros totales pendientes]]&gt;0,1,""),"")</f>
        <v/>
      </c>
    </row>
    <row r="69" spans="3:22" x14ac:dyDescent="0.25">
      <c r="C69" s="2"/>
      <c r="D69" s="2"/>
      <c r="E69" s="2"/>
      <c r="F69" s="2"/>
      <c r="G69" s="2"/>
      <c r="H69" s="2"/>
      <c r="I69" s="2"/>
      <c r="J69" s="2">
        <f>+Tabla1[[#This Row],[Cilindros de Hidrogeno]]-(SUMIF(ENTREGACILINDROSMESSER!D:D,Tabla1[[#This Row],[Num. Orden de compra]],ENTREGACILINDROSMESSER!E:E))</f>
        <v>0</v>
      </c>
      <c r="K69" s="29">
        <f>+Tabla1[[#This Row],[Cilindros de Argòn ]]-(SUMIF(ENTREGACILINDROSMESSER!D:D,Tabla1[[#This Row],[Num. Orden de compra]],ENTREGACILINDROSMESSER!F:F))</f>
        <v>0</v>
      </c>
      <c r="L69" s="29">
        <f>+Tabla1[[#This Row],[Cilindros de Nitrogeno ]]-(SUMIF(ENTREGACILINDROSMESSER!D:D,Tabla1[[#This Row],[Num. Orden de compra]],ENTREGACILINDROSMESSER!G:G))</f>
        <v>0</v>
      </c>
      <c r="M69" s="29">
        <f>+Tabla1[[#This Row],[Cilindros de Aire Seco]]-(SUMIF(ENTREGACILINDROSMESSER!D:D,Tabla1[[#This Row],[Num. Orden de compra]],ENTREGACILINDROSMESSER!H:H))</f>
        <v>0</v>
      </c>
      <c r="N69" s="29">
        <f>+Tabla1[[#This Row],[Cilindros de Aire Cero]]-(SUMIF(ENTREGACILINDROSMESSER!D:D,Tabla2[Num. Orden de compra],ENTREGACILINDROSMESSER!I:I))</f>
        <v>0</v>
      </c>
      <c r="O69" s="29">
        <f t="shared" si="0"/>
        <v>0</v>
      </c>
      <c r="V69" s="1" t="str">
        <f>+IFERROR(IF(Tabla3[[#This Row],[Cilindros totales pendientes]]&gt;0,1,""),"")</f>
        <v/>
      </c>
    </row>
    <row r="70" spans="3:22" x14ac:dyDescent="0.25">
      <c r="C70" s="2"/>
      <c r="D70" s="2"/>
      <c r="E70" s="2"/>
      <c r="F70" s="2"/>
      <c r="G70" s="2"/>
      <c r="H70" s="2"/>
      <c r="I70" s="2"/>
      <c r="J70" s="2">
        <f>+Tabla1[[#This Row],[Cilindros de Hidrogeno]]-(SUMIF(ENTREGACILINDROSMESSER!D:D,Tabla1[[#This Row],[Num. Orden de compra]],ENTREGACILINDROSMESSER!E:E))</f>
        <v>0</v>
      </c>
      <c r="K70" s="29">
        <f>+Tabla1[[#This Row],[Cilindros de Argòn ]]-(SUMIF(ENTREGACILINDROSMESSER!D:D,Tabla1[[#This Row],[Num. Orden de compra]],ENTREGACILINDROSMESSER!F:F))</f>
        <v>0</v>
      </c>
      <c r="L70" s="29">
        <f>+Tabla1[[#This Row],[Cilindros de Nitrogeno ]]-(SUMIF(ENTREGACILINDROSMESSER!D:D,Tabla1[[#This Row],[Num. Orden de compra]],ENTREGACILINDROSMESSER!G:G))</f>
        <v>0</v>
      </c>
      <c r="M70" s="29">
        <f>+Tabla1[[#This Row],[Cilindros de Aire Seco]]-(SUMIF(ENTREGACILINDROSMESSER!D:D,Tabla1[[#This Row],[Num. Orden de compra]],ENTREGACILINDROSMESSER!H:H))</f>
        <v>0</v>
      </c>
      <c r="N70" s="29">
        <f>+Tabla1[[#This Row],[Cilindros de Aire Cero]]-(SUMIF(ENTREGACILINDROSMESSER!D:D,Tabla2[Num. Orden de compra],ENTREGACILINDROSMESSER!I:I))</f>
        <v>0</v>
      </c>
      <c r="O70" s="29">
        <f t="shared" ref="O70:O89" si="1">+SUM(J70:N70)</f>
        <v>0</v>
      </c>
      <c r="V70" s="1" t="str">
        <f>+IFERROR(IF(Tabla3[[#This Row],[Cilindros totales pendientes]]&gt;0,1,""),"")</f>
        <v/>
      </c>
    </row>
    <row r="71" spans="3:22" x14ac:dyDescent="0.25">
      <c r="C71" s="2"/>
      <c r="D71" s="2"/>
      <c r="E71" s="2"/>
      <c r="F71" s="2"/>
      <c r="G71" s="2"/>
      <c r="H71" s="2"/>
      <c r="I71" s="2"/>
      <c r="J71" s="2">
        <f>+Tabla1[[#This Row],[Cilindros de Hidrogeno]]-(SUMIF(ENTREGACILINDROSMESSER!D:D,Tabla1[[#This Row],[Num. Orden de compra]],ENTREGACILINDROSMESSER!E:E))</f>
        <v>0</v>
      </c>
      <c r="K71" s="29">
        <f>+Tabla1[[#This Row],[Cilindros de Argòn ]]-(SUMIF(ENTREGACILINDROSMESSER!D:D,Tabla1[[#This Row],[Num. Orden de compra]],ENTREGACILINDROSMESSER!F:F))</f>
        <v>0</v>
      </c>
      <c r="L71" s="29">
        <f>+Tabla1[[#This Row],[Cilindros de Nitrogeno ]]-(SUMIF(ENTREGACILINDROSMESSER!D:D,Tabla1[[#This Row],[Num. Orden de compra]],ENTREGACILINDROSMESSER!G:G))</f>
        <v>0</v>
      </c>
      <c r="M71" s="29">
        <f>+Tabla1[[#This Row],[Cilindros de Aire Seco]]-(SUMIF(ENTREGACILINDROSMESSER!D:D,Tabla1[[#This Row],[Num. Orden de compra]],ENTREGACILINDROSMESSER!H:H))</f>
        <v>0</v>
      </c>
      <c r="N71" s="29">
        <f>+Tabla1[[#This Row],[Cilindros de Aire Cero]]-(SUMIF(ENTREGACILINDROSMESSER!D:D,Tabla2[Num. Orden de compra],ENTREGACILINDROSMESSER!I:I))</f>
        <v>0</v>
      </c>
      <c r="O71" s="29">
        <f t="shared" si="1"/>
        <v>0</v>
      </c>
      <c r="V71" s="1" t="str">
        <f>+IFERROR(IF(Tabla3[[#This Row],[Cilindros totales pendientes]]&gt;0,1,""),"")</f>
        <v/>
      </c>
    </row>
    <row r="72" spans="3:22" x14ac:dyDescent="0.25">
      <c r="C72" s="2"/>
      <c r="D72" s="2"/>
      <c r="E72" s="2"/>
      <c r="F72" s="2"/>
      <c r="G72" s="2"/>
      <c r="H72" s="2"/>
      <c r="I72" s="2"/>
      <c r="J72" s="2">
        <f>+Tabla1[[#This Row],[Cilindros de Hidrogeno]]-(SUMIF(ENTREGACILINDROSMESSER!D:D,Tabla1[[#This Row],[Num. Orden de compra]],ENTREGACILINDROSMESSER!E:E))</f>
        <v>0</v>
      </c>
      <c r="K72" s="29">
        <f>+Tabla1[[#This Row],[Cilindros de Argòn ]]-(SUMIF(ENTREGACILINDROSMESSER!D:D,Tabla1[[#This Row],[Num. Orden de compra]],ENTREGACILINDROSMESSER!F:F))</f>
        <v>0</v>
      </c>
      <c r="L72" s="29">
        <f>+Tabla1[[#This Row],[Cilindros de Nitrogeno ]]-(SUMIF(ENTREGACILINDROSMESSER!D:D,Tabla1[[#This Row],[Num. Orden de compra]],ENTREGACILINDROSMESSER!G:G))</f>
        <v>0</v>
      </c>
      <c r="M72" s="29">
        <f>+Tabla1[[#This Row],[Cilindros de Aire Seco]]-(SUMIF(ENTREGACILINDROSMESSER!D:D,Tabla1[[#This Row],[Num. Orden de compra]],ENTREGACILINDROSMESSER!H:H))</f>
        <v>0</v>
      </c>
      <c r="N72" s="29">
        <f>+Tabla1[[#This Row],[Cilindros de Aire Cero]]-(SUMIF(ENTREGACILINDROSMESSER!D:D,Tabla2[Num. Orden de compra],ENTREGACILINDROSMESSER!I:I))</f>
        <v>0</v>
      </c>
      <c r="O72" s="29">
        <f t="shared" si="1"/>
        <v>0</v>
      </c>
      <c r="V72" s="1" t="str">
        <f>+IFERROR(IF(Tabla3[[#This Row],[Cilindros totales pendientes]]&gt;0,1,""),"")</f>
        <v/>
      </c>
    </row>
    <row r="73" spans="3:22" x14ac:dyDescent="0.25">
      <c r="C73" s="2"/>
      <c r="D73" s="2"/>
      <c r="E73" s="2"/>
      <c r="F73" s="2"/>
      <c r="G73" s="2"/>
      <c r="H73" s="2"/>
      <c r="I73" s="2"/>
      <c r="J73" s="2">
        <f>+Tabla1[[#This Row],[Cilindros de Hidrogeno]]-(SUMIF(ENTREGACILINDROSMESSER!D:D,Tabla1[[#This Row],[Num. Orden de compra]],ENTREGACILINDROSMESSER!E:E))</f>
        <v>0</v>
      </c>
      <c r="K73" s="29">
        <f>+Tabla1[[#This Row],[Cilindros de Argòn ]]-(SUMIF(ENTREGACILINDROSMESSER!D:D,Tabla1[[#This Row],[Num. Orden de compra]],ENTREGACILINDROSMESSER!F:F))</f>
        <v>0</v>
      </c>
      <c r="L73" s="29">
        <f>+Tabla1[[#This Row],[Cilindros de Nitrogeno ]]-(SUMIF(ENTREGACILINDROSMESSER!D:D,Tabla1[[#This Row],[Num. Orden de compra]],ENTREGACILINDROSMESSER!G:G))</f>
        <v>0</v>
      </c>
      <c r="M73" s="29">
        <f>+Tabla1[[#This Row],[Cilindros de Aire Seco]]-(SUMIF(ENTREGACILINDROSMESSER!D:D,Tabla1[[#This Row],[Num. Orden de compra]],ENTREGACILINDROSMESSER!H:H))</f>
        <v>0</v>
      </c>
      <c r="N73" s="29">
        <f>+Tabla1[[#This Row],[Cilindros de Aire Cero]]-(SUMIF(ENTREGACILINDROSMESSER!D:D,Tabla2[Num. Orden de compra],ENTREGACILINDROSMESSER!I:I))</f>
        <v>0</v>
      </c>
      <c r="O73" s="29">
        <f t="shared" si="1"/>
        <v>0</v>
      </c>
      <c r="V73" s="1" t="str">
        <f>+IFERROR(IF(Tabla3[[#This Row],[Cilindros totales pendientes]]&gt;0,1,""),"")</f>
        <v/>
      </c>
    </row>
    <row r="74" spans="3:22" x14ac:dyDescent="0.25">
      <c r="C74" s="2"/>
      <c r="D74" s="2"/>
      <c r="E74" s="2"/>
      <c r="F74" s="2"/>
      <c r="G74" s="2"/>
      <c r="H74" s="2"/>
      <c r="I74" s="2"/>
      <c r="J74" s="2">
        <f>+Tabla1[[#This Row],[Cilindros de Hidrogeno]]-(SUMIF(ENTREGACILINDROSMESSER!D:D,Tabla1[[#This Row],[Num. Orden de compra]],ENTREGACILINDROSMESSER!E:E))</f>
        <v>0</v>
      </c>
      <c r="K74" s="29">
        <f>+Tabla1[[#This Row],[Cilindros de Argòn ]]-(SUMIF(ENTREGACILINDROSMESSER!D:D,Tabla1[[#This Row],[Num. Orden de compra]],ENTREGACILINDROSMESSER!F:F))</f>
        <v>0</v>
      </c>
      <c r="L74" s="29">
        <f>+Tabla1[[#This Row],[Cilindros de Nitrogeno ]]-(SUMIF(ENTREGACILINDROSMESSER!D:D,Tabla1[[#This Row],[Num. Orden de compra]],ENTREGACILINDROSMESSER!G:G))</f>
        <v>0</v>
      </c>
      <c r="M74" s="29">
        <f>+Tabla1[[#This Row],[Cilindros de Aire Seco]]-(SUMIF(ENTREGACILINDROSMESSER!D:D,Tabla1[[#This Row],[Num. Orden de compra]],ENTREGACILINDROSMESSER!H:H))</f>
        <v>0</v>
      </c>
      <c r="N74" s="29">
        <f>+Tabla1[[#This Row],[Cilindros de Aire Cero]]-(SUMIF(ENTREGACILINDROSMESSER!D:D,Tabla2[Num. Orden de compra],ENTREGACILINDROSMESSER!I:I))</f>
        <v>0</v>
      </c>
      <c r="O74" s="29">
        <f t="shared" si="1"/>
        <v>0</v>
      </c>
      <c r="V74" s="1" t="str">
        <f>+IFERROR(IF(Tabla3[[#This Row],[Cilindros totales pendientes]]&gt;0,1,""),"")</f>
        <v/>
      </c>
    </row>
    <row r="75" spans="3:22" x14ac:dyDescent="0.25">
      <c r="C75" s="2"/>
      <c r="D75" s="2"/>
      <c r="E75" s="2"/>
      <c r="F75" s="2"/>
      <c r="G75" s="2"/>
      <c r="H75" s="2"/>
      <c r="I75" s="2"/>
      <c r="J75" s="2">
        <f>+Tabla1[[#This Row],[Cilindros de Hidrogeno]]-(SUMIF(ENTREGACILINDROSMESSER!D:D,Tabla1[[#This Row],[Num. Orden de compra]],ENTREGACILINDROSMESSER!E:E))</f>
        <v>0</v>
      </c>
      <c r="K75" s="29">
        <f>+Tabla1[[#This Row],[Cilindros de Argòn ]]-(SUMIF(ENTREGACILINDROSMESSER!D:D,Tabla1[[#This Row],[Num. Orden de compra]],ENTREGACILINDROSMESSER!F:F))</f>
        <v>0</v>
      </c>
      <c r="L75" s="29">
        <f>+Tabla1[[#This Row],[Cilindros de Nitrogeno ]]-(SUMIF(ENTREGACILINDROSMESSER!D:D,Tabla1[[#This Row],[Num. Orden de compra]],ENTREGACILINDROSMESSER!G:G))</f>
        <v>0</v>
      </c>
      <c r="M75" s="29">
        <f>+Tabla1[[#This Row],[Cilindros de Aire Seco]]-(SUMIF(ENTREGACILINDROSMESSER!D:D,Tabla1[[#This Row],[Num. Orden de compra]],ENTREGACILINDROSMESSER!H:H))</f>
        <v>0</v>
      </c>
      <c r="N75" s="29">
        <f>+Tabla1[[#This Row],[Cilindros de Aire Cero]]-(SUMIF(ENTREGACILINDROSMESSER!D:D,Tabla2[Num. Orden de compra],ENTREGACILINDROSMESSER!I:I))</f>
        <v>0</v>
      </c>
      <c r="O75" s="29">
        <f t="shared" si="1"/>
        <v>0</v>
      </c>
      <c r="V75" s="1" t="str">
        <f>+IFERROR(IF(Tabla3[[#This Row],[Cilindros totales pendientes]]&gt;0,1,""),"")</f>
        <v/>
      </c>
    </row>
    <row r="76" spans="3:22" x14ac:dyDescent="0.25">
      <c r="C76" s="2"/>
      <c r="D76" s="2"/>
      <c r="E76" s="2"/>
      <c r="F76" s="2"/>
      <c r="G76" s="2"/>
      <c r="H76" s="2"/>
      <c r="I76" s="2"/>
      <c r="J76" s="2">
        <f>+Tabla1[[#This Row],[Cilindros de Hidrogeno]]-(SUMIF(ENTREGACILINDROSMESSER!D:D,Tabla1[[#This Row],[Num. Orden de compra]],ENTREGACILINDROSMESSER!E:E))</f>
        <v>0</v>
      </c>
      <c r="K76" s="29">
        <f>+Tabla1[[#This Row],[Cilindros de Argòn ]]-(SUMIF(ENTREGACILINDROSMESSER!D:D,Tabla1[[#This Row],[Num. Orden de compra]],ENTREGACILINDROSMESSER!F:F))</f>
        <v>0</v>
      </c>
      <c r="L76" s="29">
        <f>+Tabla1[[#This Row],[Cilindros de Nitrogeno ]]-(SUMIF(ENTREGACILINDROSMESSER!D:D,Tabla1[[#This Row],[Num. Orden de compra]],ENTREGACILINDROSMESSER!G:G))</f>
        <v>0</v>
      </c>
      <c r="M76" s="29">
        <f>+Tabla1[[#This Row],[Cilindros de Aire Seco]]-(SUMIF(ENTREGACILINDROSMESSER!D:D,Tabla1[[#This Row],[Num. Orden de compra]],ENTREGACILINDROSMESSER!H:H))</f>
        <v>0</v>
      </c>
      <c r="N76" s="29">
        <f>+Tabla1[[#This Row],[Cilindros de Aire Cero]]-(SUMIF(ENTREGACILINDROSMESSER!D:D,Tabla2[Num. Orden de compra],ENTREGACILINDROSMESSER!I:I))</f>
        <v>0</v>
      </c>
      <c r="O76" s="29">
        <f t="shared" si="1"/>
        <v>0</v>
      </c>
      <c r="V76" s="1" t="str">
        <f>+IFERROR(IF(Tabla3[[#This Row],[Cilindros totales pendientes]]&gt;0,1,""),"")</f>
        <v/>
      </c>
    </row>
    <row r="77" spans="3:22" x14ac:dyDescent="0.25">
      <c r="C77" s="2"/>
      <c r="D77" s="2"/>
      <c r="E77" s="2"/>
      <c r="F77" s="2"/>
      <c r="G77" s="2"/>
      <c r="H77" s="2"/>
      <c r="I77" s="2"/>
      <c r="J77" s="2">
        <f>+Tabla1[[#This Row],[Cilindros de Hidrogeno]]-(SUMIF(ENTREGACILINDROSMESSER!D:D,Tabla1[[#This Row],[Num. Orden de compra]],ENTREGACILINDROSMESSER!E:E))</f>
        <v>0</v>
      </c>
      <c r="K77" s="29">
        <f>+Tabla1[[#This Row],[Cilindros de Argòn ]]-(SUMIF(ENTREGACILINDROSMESSER!D:D,Tabla1[[#This Row],[Num. Orden de compra]],ENTREGACILINDROSMESSER!F:F))</f>
        <v>0</v>
      </c>
      <c r="L77" s="29">
        <f>+Tabla1[[#This Row],[Cilindros de Nitrogeno ]]-(SUMIF(ENTREGACILINDROSMESSER!D:D,Tabla1[[#This Row],[Num. Orden de compra]],ENTREGACILINDROSMESSER!G:G))</f>
        <v>0</v>
      </c>
      <c r="M77" s="29">
        <f>+Tabla1[[#This Row],[Cilindros de Aire Seco]]-(SUMIF(ENTREGACILINDROSMESSER!D:D,Tabla1[[#This Row],[Num. Orden de compra]],ENTREGACILINDROSMESSER!H:H))</f>
        <v>0</v>
      </c>
      <c r="N77" s="29">
        <f>+Tabla1[[#This Row],[Cilindros de Aire Cero]]-(SUMIF(ENTREGACILINDROSMESSER!D:D,Tabla2[Num. Orden de compra],ENTREGACILINDROSMESSER!I:I))</f>
        <v>0</v>
      </c>
      <c r="O77" s="29">
        <f t="shared" si="1"/>
        <v>0</v>
      </c>
      <c r="V77" s="1" t="str">
        <f>+IFERROR(IF(Tabla3[[#This Row],[Cilindros totales pendientes]]&gt;0,1,""),"")</f>
        <v/>
      </c>
    </row>
    <row r="78" spans="3:22" x14ac:dyDescent="0.25">
      <c r="C78" s="2"/>
      <c r="D78" s="2"/>
      <c r="E78" s="2"/>
      <c r="F78" s="2"/>
      <c r="G78" s="2"/>
      <c r="H78" s="2"/>
      <c r="I78" s="2"/>
      <c r="J78" s="2">
        <f>+Tabla1[[#This Row],[Cilindros de Hidrogeno]]-(SUMIF(ENTREGACILINDROSMESSER!D:D,Tabla1[[#This Row],[Num. Orden de compra]],ENTREGACILINDROSMESSER!E:E))</f>
        <v>0</v>
      </c>
      <c r="K78" s="29">
        <f>+Tabla1[[#This Row],[Cilindros de Argòn ]]-(SUMIF(ENTREGACILINDROSMESSER!D:D,Tabla1[[#This Row],[Num. Orden de compra]],ENTREGACILINDROSMESSER!F:F))</f>
        <v>0</v>
      </c>
      <c r="L78" s="29">
        <f>+Tabla1[[#This Row],[Cilindros de Nitrogeno ]]-(SUMIF(ENTREGACILINDROSMESSER!D:D,Tabla1[[#This Row],[Num. Orden de compra]],ENTREGACILINDROSMESSER!G:G))</f>
        <v>0</v>
      </c>
      <c r="M78" s="29">
        <f>+Tabla1[[#This Row],[Cilindros de Aire Seco]]-(SUMIF(ENTREGACILINDROSMESSER!D:D,Tabla1[[#This Row],[Num. Orden de compra]],ENTREGACILINDROSMESSER!H:H))</f>
        <v>0</v>
      </c>
      <c r="N78" s="29">
        <f>+Tabla1[[#This Row],[Cilindros de Aire Cero]]-(SUMIF(ENTREGACILINDROSMESSER!D:D,Tabla2[Num. Orden de compra],ENTREGACILINDROSMESSER!I:I))</f>
        <v>0</v>
      </c>
      <c r="O78" s="29">
        <f t="shared" si="1"/>
        <v>0</v>
      </c>
      <c r="V78" s="1" t="str">
        <f>+IFERROR(IF(Tabla3[[#This Row],[Cilindros totales pendientes]]&gt;0,1,""),"")</f>
        <v/>
      </c>
    </row>
    <row r="79" spans="3:22" x14ac:dyDescent="0.25">
      <c r="C79" s="2"/>
      <c r="D79" s="2"/>
      <c r="E79" s="2"/>
      <c r="F79" s="2"/>
      <c r="G79" s="2"/>
      <c r="H79" s="2"/>
      <c r="I79" s="2"/>
      <c r="J79" s="2">
        <f>+Tabla1[[#This Row],[Cilindros de Hidrogeno]]-(SUMIF(ENTREGACILINDROSMESSER!D:D,Tabla1[[#This Row],[Num. Orden de compra]],ENTREGACILINDROSMESSER!E:E))</f>
        <v>0</v>
      </c>
      <c r="K79" s="29">
        <f>+Tabla1[[#This Row],[Cilindros de Argòn ]]-(SUMIF(ENTREGACILINDROSMESSER!D:D,Tabla1[[#This Row],[Num. Orden de compra]],ENTREGACILINDROSMESSER!F:F))</f>
        <v>0</v>
      </c>
      <c r="L79" s="29">
        <f>+Tabla1[[#This Row],[Cilindros de Nitrogeno ]]-(SUMIF(ENTREGACILINDROSMESSER!D:D,Tabla1[[#This Row],[Num. Orden de compra]],ENTREGACILINDROSMESSER!G:G))</f>
        <v>0</v>
      </c>
      <c r="M79" s="29">
        <f>+Tabla1[[#This Row],[Cilindros de Aire Seco]]-(SUMIF(ENTREGACILINDROSMESSER!D:D,Tabla1[[#This Row],[Num. Orden de compra]],ENTREGACILINDROSMESSER!H:H))</f>
        <v>0</v>
      </c>
      <c r="N79" s="29">
        <f>+Tabla1[[#This Row],[Cilindros de Aire Cero]]-(SUMIF(ENTREGACILINDROSMESSER!D:D,Tabla2[Num. Orden de compra],ENTREGACILINDROSMESSER!I:I))</f>
        <v>0</v>
      </c>
      <c r="O79" s="29">
        <f t="shared" si="1"/>
        <v>0</v>
      </c>
      <c r="V79" s="1" t="str">
        <f>+IFERROR(IF(Tabla3[[#This Row],[Cilindros totales pendientes]]&gt;0,1,""),"")</f>
        <v/>
      </c>
    </row>
    <row r="80" spans="3:22" x14ac:dyDescent="0.25">
      <c r="C80" s="2"/>
      <c r="D80" s="2"/>
      <c r="E80" s="2"/>
      <c r="F80" s="2"/>
      <c r="G80" s="2"/>
      <c r="H80" s="2"/>
      <c r="I80" s="2"/>
      <c r="J80" s="2">
        <f>+Tabla1[[#This Row],[Cilindros de Hidrogeno]]-(SUMIF(ENTREGACILINDROSMESSER!D:D,Tabla1[[#This Row],[Num. Orden de compra]],ENTREGACILINDROSMESSER!E:E))</f>
        <v>0</v>
      </c>
      <c r="K80" s="29">
        <f>+Tabla1[[#This Row],[Cilindros de Argòn ]]-(SUMIF(ENTREGACILINDROSMESSER!D:D,Tabla1[[#This Row],[Num. Orden de compra]],ENTREGACILINDROSMESSER!F:F))</f>
        <v>0</v>
      </c>
      <c r="L80" s="29">
        <f>+Tabla1[[#This Row],[Cilindros de Nitrogeno ]]-(SUMIF(ENTREGACILINDROSMESSER!D:D,Tabla1[[#This Row],[Num. Orden de compra]],ENTREGACILINDROSMESSER!G:G))</f>
        <v>0</v>
      </c>
      <c r="M80" s="29">
        <f>+Tabla1[[#This Row],[Cilindros de Aire Seco]]-(SUMIF(ENTREGACILINDROSMESSER!D:D,Tabla1[[#This Row],[Num. Orden de compra]],ENTREGACILINDROSMESSER!H:H))</f>
        <v>0</v>
      </c>
      <c r="N80" s="29">
        <f>+Tabla1[[#This Row],[Cilindros de Aire Cero]]-(SUMIF(ENTREGACILINDROSMESSER!D:D,Tabla2[Num. Orden de compra],ENTREGACILINDROSMESSER!I:I))</f>
        <v>0</v>
      </c>
      <c r="O80" s="29">
        <f t="shared" si="1"/>
        <v>0</v>
      </c>
      <c r="V80" s="1" t="str">
        <f>+IFERROR(IF(Tabla3[[#This Row],[Cilindros totales pendientes]]&gt;0,1,""),"")</f>
        <v/>
      </c>
    </row>
    <row r="81" spans="3:22" x14ac:dyDescent="0.25">
      <c r="C81" s="2"/>
      <c r="D81" s="2"/>
      <c r="E81" s="2"/>
      <c r="F81" s="2"/>
      <c r="G81" s="2"/>
      <c r="H81" s="2"/>
      <c r="I81" s="2"/>
      <c r="J81" s="2">
        <f>+Tabla1[[#This Row],[Cilindros de Hidrogeno]]-(SUMIF(ENTREGACILINDROSMESSER!D:D,Tabla1[[#This Row],[Num. Orden de compra]],ENTREGACILINDROSMESSER!E:E))</f>
        <v>0</v>
      </c>
      <c r="K81" s="29">
        <f>+Tabla1[[#This Row],[Cilindros de Argòn ]]-(SUMIF(ENTREGACILINDROSMESSER!D:D,Tabla1[[#This Row],[Num. Orden de compra]],ENTREGACILINDROSMESSER!F:F))</f>
        <v>0</v>
      </c>
      <c r="L81" s="29">
        <f>+Tabla1[[#This Row],[Cilindros de Nitrogeno ]]-(SUMIF(ENTREGACILINDROSMESSER!D:D,Tabla1[[#This Row],[Num. Orden de compra]],ENTREGACILINDROSMESSER!G:G))</f>
        <v>0</v>
      </c>
      <c r="M81" s="29">
        <f>+Tabla1[[#This Row],[Cilindros de Aire Seco]]-(SUMIF(ENTREGACILINDROSMESSER!D:D,Tabla1[[#This Row],[Num. Orden de compra]],ENTREGACILINDROSMESSER!H:H))</f>
        <v>0</v>
      </c>
      <c r="N81" s="29">
        <f>+Tabla1[[#This Row],[Cilindros de Aire Cero]]-(SUMIF(ENTREGACILINDROSMESSER!D:D,Tabla2[Num. Orden de compra],ENTREGACILINDROSMESSER!I:I))</f>
        <v>0</v>
      </c>
      <c r="O81" s="29">
        <f t="shared" si="1"/>
        <v>0</v>
      </c>
      <c r="V81" s="1" t="str">
        <f>+IFERROR(IF(Tabla3[[#This Row],[Cilindros totales pendientes]]&gt;0,1,""),"")</f>
        <v/>
      </c>
    </row>
    <row r="82" spans="3:22" x14ac:dyDescent="0.25">
      <c r="C82" s="2"/>
      <c r="D82" s="2"/>
      <c r="E82" s="2"/>
      <c r="F82" s="2"/>
      <c r="G82" s="2"/>
      <c r="H82" s="2"/>
      <c r="I82" s="2"/>
      <c r="J82" s="2">
        <f>+Tabla1[[#This Row],[Cilindros de Hidrogeno]]-(SUMIF(ENTREGACILINDROSMESSER!D:D,Tabla1[[#This Row],[Num. Orden de compra]],ENTREGACILINDROSMESSER!E:E))</f>
        <v>0</v>
      </c>
      <c r="K82" s="29">
        <f>+Tabla1[[#This Row],[Cilindros de Argòn ]]-(SUMIF(ENTREGACILINDROSMESSER!D:D,Tabla1[[#This Row],[Num. Orden de compra]],ENTREGACILINDROSMESSER!F:F))</f>
        <v>0</v>
      </c>
      <c r="L82" s="29">
        <f>+Tabla1[[#This Row],[Cilindros de Nitrogeno ]]-(SUMIF(ENTREGACILINDROSMESSER!D:D,Tabla1[[#This Row],[Num. Orden de compra]],ENTREGACILINDROSMESSER!G:G))</f>
        <v>0</v>
      </c>
      <c r="M82" s="29">
        <f>+Tabla1[[#This Row],[Cilindros de Aire Seco]]-(SUMIF(ENTREGACILINDROSMESSER!D:D,Tabla1[[#This Row],[Num. Orden de compra]],ENTREGACILINDROSMESSER!H:H))</f>
        <v>0</v>
      </c>
      <c r="N82" s="29">
        <f>+Tabla1[[#This Row],[Cilindros de Aire Cero]]-(SUMIF(ENTREGACILINDROSMESSER!D:D,Tabla2[Num. Orden de compra],ENTREGACILINDROSMESSER!I:I))</f>
        <v>0</v>
      </c>
      <c r="O82" s="29">
        <f t="shared" si="1"/>
        <v>0</v>
      </c>
      <c r="V82" s="1" t="str">
        <f>+IFERROR(IF(Tabla3[[#This Row],[Cilindros totales pendientes]]&gt;0,1,""),"")</f>
        <v/>
      </c>
    </row>
    <row r="83" spans="3:22" x14ac:dyDescent="0.25">
      <c r="C83" s="2"/>
      <c r="D83" s="2"/>
      <c r="E83" s="2"/>
      <c r="F83" s="2"/>
      <c r="G83" s="2"/>
      <c r="H83" s="2"/>
      <c r="I83" s="2"/>
      <c r="J83" s="2">
        <f>+Tabla1[[#This Row],[Cilindros de Hidrogeno]]-(SUMIF(ENTREGACILINDROSMESSER!D:D,Tabla1[[#This Row],[Num. Orden de compra]],ENTREGACILINDROSMESSER!E:E))</f>
        <v>0</v>
      </c>
      <c r="K83" s="29">
        <f>+Tabla1[[#This Row],[Cilindros de Argòn ]]-(SUMIF(ENTREGACILINDROSMESSER!D:D,Tabla1[[#This Row],[Num. Orden de compra]],ENTREGACILINDROSMESSER!F:F))</f>
        <v>0</v>
      </c>
      <c r="L83" s="29">
        <f>+Tabla1[[#This Row],[Cilindros de Nitrogeno ]]-(SUMIF(ENTREGACILINDROSMESSER!D:D,Tabla1[[#This Row],[Num. Orden de compra]],ENTREGACILINDROSMESSER!G:G))</f>
        <v>0</v>
      </c>
      <c r="M83" s="29">
        <f>+Tabla1[[#This Row],[Cilindros de Aire Seco]]-(SUMIF(ENTREGACILINDROSMESSER!D:D,Tabla1[[#This Row],[Num. Orden de compra]],ENTREGACILINDROSMESSER!H:H))</f>
        <v>0</v>
      </c>
      <c r="N83" s="29">
        <f>+Tabla1[[#This Row],[Cilindros de Aire Cero]]-(SUMIF(ENTREGACILINDROSMESSER!D:D,Tabla2[Num. Orden de compra],ENTREGACILINDROSMESSER!I:I))</f>
        <v>0</v>
      </c>
      <c r="O83" s="29">
        <f t="shared" si="1"/>
        <v>0</v>
      </c>
      <c r="V83" s="1" t="str">
        <f>+IFERROR(IF(Tabla3[[#This Row],[Cilindros totales pendientes]]&gt;0,1,""),"")</f>
        <v/>
      </c>
    </row>
    <row r="84" spans="3:22" x14ac:dyDescent="0.25">
      <c r="C84" s="2"/>
      <c r="D84" s="2"/>
      <c r="E84" s="2"/>
      <c r="F84" s="2"/>
      <c r="G84" s="2"/>
      <c r="H84" s="2"/>
      <c r="I84" s="2"/>
      <c r="J84" s="2">
        <f>+Tabla1[[#This Row],[Cilindros de Hidrogeno]]-(SUMIF(ENTREGACILINDROSMESSER!D:D,Tabla1[[#This Row],[Num. Orden de compra]],ENTREGACILINDROSMESSER!E:E))</f>
        <v>0</v>
      </c>
      <c r="K84" s="29">
        <f>+Tabla1[[#This Row],[Cilindros de Argòn ]]-(SUMIF(ENTREGACILINDROSMESSER!D:D,Tabla1[[#This Row],[Num. Orden de compra]],ENTREGACILINDROSMESSER!F:F))</f>
        <v>0</v>
      </c>
      <c r="L84" s="29">
        <f>+Tabla1[[#This Row],[Cilindros de Nitrogeno ]]-(SUMIF(ENTREGACILINDROSMESSER!D:D,Tabla1[[#This Row],[Num. Orden de compra]],ENTREGACILINDROSMESSER!G:G))</f>
        <v>0</v>
      </c>
      <c r="M84" s="29">
        <f>+Tabla1[[#This Row],[Cilindros de Aire Seco]]-(SUMIF(ENTREGACILINDROSMESSER!D:D,Tabla1[[#This Row],[Num. Orden de compra]],ENTREGACILINDROSMESSER!H:H))</f>
        <v>0</v>
      </c>
      <c r="N84" s="29">
        <f>+Tabla1[[#This Row],[Cilindros de Aire Cero]]-(SUMIF(ENTREGACILINDROSMESSER!D:D,Tabla2[Num. Orden de compra],ENTREGACILINDROSMESSER!I:I))</f>
        <v>0</v>
      </c>
      <c r="O84" s="29">
        <f t="shared" si="1"/>
        <v>0</v>
      </c>
      <c r="V84" s="1" t="str">
        <f>+IFERROR(IF(Tabla3[[#This Row],[Cilindros totales pendientes]]&gt;0,1,""),"")</f>
        <v/>
      </c>
    </row>
    <row r="85" spans="3:22" x14ac:dyDescent="0.25">
      <c r="C85" s="2"/>
      <c r="D85" s="2"/>
      <c r="E85" s="2"/>
      <c r="F85" s="2"/>
      <c r="G85" s="2"/>
      <c r="H85" s="2"/>
      <c r="I85" s="2"/>
      <c r="J85" s="2">
        <f>+Tabla1[[#This Row],[Cilindros de Hidrogeno]]-(SUMIF(ENTREGACILINDROSMESSER!D:D,Tabla1[[#This Row],[Num. Orden de compra]],ENTREGACILINDROSMESSER!E:E))</f>
        <v>0</v>
      </c>
      <c r="K85" s="29">
        <f>+Tabla1[[#This Row],[Cilindros de Argòn ]]-(SUMIF(ENTREGACILINDROSMESSER!D:D,Tabla1[[#This Row],[Num. Orden de compra]],ENTREGACILINDROSMESSER!F:F))</f>
        <v>0</v>
      </c>
      <c r="L85" s="29">
        <f>+Tabla1[[#This Row],[Cilindros de Nitrogeno ]]-(SUMIF(ENTREGACILINDROSMESSER!D:D,Tabla1[[#This Row],[Num. Orden de compra]],ENTREGACILINDROSMESSER!G:G))</f>
        <v>0</v>
      </c>
      <c r="M85" s="29">
        <f>+Tabla1[[#This Row],[Cilindros de Aire Seco]]-(SUMIF(ENTREGACILINDROSMESSER!D:D,Tabla1[[#This Row],[Num. Orden de compra]],ENTREGACILINDROSMESSER!H:H))</f>
        <v>0</v>
      </c>
      <c r="N85" s="29">
        <f>+Tabla1[[#This Row],[Cilindros de Aire Cero]]-(SUMIF(ENTREGACILINDROSMESSER!D:D,Tabla2[Num. Orden de compra],ENTREGACILINDROSMESSER!I:I))</f>
        <v>0</v>
      </c>
      <c r="O85" s="29">
        <f t="shared" si="1"/>
        <v>0</v>
      </c>
      <c r="V85" s="1" t="str">
        <f>+IFERROR(IF(Tabla3[[#This Row],[Cilindros totales pendientes]]&gt;0,1,""),"")</f>
        <v/>
      </c>
    </row>
    <row r="86" spans="3:22" x14ac:dyDescent="0.25">
      <c r="C86" s="2"/>
      <c r="D86" s="2"/>
      <c r="E86" s="2"/>
      <c r="F86" s="2"/>
      <c r="G86" s="2"/>
      <c r="H86" s="2"/>
      <c r="I86" s="2"/>
      <c r="J86" s="2">
        <f>+Tabla1[[#This Row],[Cilindros de Hidrogeno]]-(SUMIF(ENTREGACILINDROSMESSER!D:D,Tabla1[[#This Row],[Num. Orden de compra]],ENTREGACILINDROSMESSER!E:E))</f>
        <v>0</v>
      </c>
      <c r="K86" s="29">
        <f>+Tabla1[[#This Row],[Cilindros de Argòn ]]-(SUMIF(ENTREGACILINDROSMESSER!D:D,Tabla1[[#This Row],[Num. Orden de compra]],ENTREGACILINDROSMESSER!F:F))</f>
        <v>0</v>
      </c>
      <c r="L86" s="29">
        <f>+Tabla1[[#This Row],[Cilindros de Nitrogeno ]]-(SUMIF(ENTREGACILINDROSMESSER!D:D,Tabla1[[#This Row],[Num. Orden de compra]],ENTREGACILINDROSMESSER!G:G))</f>
        <v>0</v>
      </c>
      <c r="M86" s="29">
        <f>+Tabla1[[#This Row],[Cilindros de Aire Seco]]-(SUMIF(ENTREGACILINDROSMESSER!D:D,Tabla1[[#This Row],[Num. Orden de compra]],ENTREGACILINDROSMESSER!H:H))</f>
        <v>0</v>
      </c>
      <c r="N86" s="29">
        <f>+Tabla1[[#This Row],[Cilindros de Aire Cero]]-(SUMIF(ENTREGACILINDROSMESSER!D:D,Tabla2[Num. Orden de compra],ENTREGACILINDROSMESSER!I:I))</f>
        <v>0</v>
      </c>
      <c r="O86" s="29">
        <f t="shared" si="1"/>
        <v>0</v>
      </c>
      <c r="V86" s="1" t="str">
        <f>+IFERROR(IF(Tabla3[[#This Row],[Cilindros totales pendientes]]&gt;0,1,""),"")</f>
        <v/>
      </c>
    </row>
    <row r="87" spans="3:22" x14ac:dyDescent="0.25">
      <c r="C87" s="2"/>
      <c r="D87" s="2"/>
      <c r="E87" s="2"/>
      <c r="F87" s="2"/>
      <c r="G87" s="2"/>
      <c r="H87" s="2"/>
      <c r="I87" s="2"/>
      <c r="J87" s="2">
        <f>+Tabla1[[#This Row],[Cilindros de Hidrogeno]]-(SUMIF(ENTREGACILINDROSMESSER!D:D,Tabla1[[#This Row],[Num. Orden de compra]],ENTREGACILINDROSMESSER!E:E))</f>
        <v>0</v>
      </c>
      <c r="K87" s="29">
        <f>+Tabla1[[#This Row],[Cilindros de Argòn ]]-(SUMIF(ENTREGACILINDROSMESSER!D:D,Tabla1[[#This Row],[Num. Orden de compra]],ENTREGACILINDROSMESSER!F:F))</f>
        <v>0</v>
      </c>
      <c r="L87" s="29">
        <f>+Tabla1[[#This Row],[Cilindros de Nitrogeno ]]-(SUMIF(ENTREGACILINDROSMESSER!D:D,Tabla1[[#This Row],[Num. Orden de compra]],ENTREGACILINDROSMESSER!G:G))</f>
        <v>0</v>
      </c>
      <c r="M87" s="29">
        <f>+Tabla1[[#This Row],[Cilindros de Aire Seco]]-(SUMIF(ENTREGACILINDROSMESSER!D:D,Tabla1[[#This Row],[Num. Orden de compra]],ENTREGACILINDROSMESSER!H:H))</f>
        <v>0</v>
      </c>
      <c r="N87" s="29">
        <f>+Tabla1[[#This Row],[Cilindros de Aire Cero]]-(SUMIF(ENTREGACILINDROSMESSER!D:D,Tabla2[Num. Orden de compra],ENTREGACILINDROSMESSER!I:I))</f>
        <v>0</v>
      </c>
      <c r="O87" s="29">
        <f t="shared" si="1"/>
        <v>0</v>
      </c>
      <c r="V87" s="1" t="str">
        <f>+IFERROR(IF(Tabla3[[#This Row],[Cilindros totales pendientes]]&gt;0,1,""),"")</f>
        <v/>
      </c>
    </row>
    <row r="88" spans="3:22" x14ac:dyDescent="0.25">
      <c r="C88" s="2"/>
      <c r="D88" s="2"/>
      <c r="E88" s="2"/>
      <c r="F88" s="2"/>
      <c r="G88" s="2"/>
      <c r="H88" s="2"/>
      <c r="I88" s="2"/>
      <c r="J88" s="2">
        <f>+Tabla1[[#This Row],[Cilindros de Hidrogeno]]-(SUMIF(ENTREGACILINDROSMESSER!D:D,Tabla1[[#This Row],[Num. Orden de compra]],ENTREGACILINDROSMESSER!E:E))</f>
        <v>0</v>
      </c>
      <c r="K88" s="29">
        <f>+Tabla1[[#This Row],[Cilindros de Argòn ]]-(SUMIF(ENTREGACILINDROSMESSER!D:D,Tabla1[[#This Row],[Num. Orden de compra]],ENTREGACILINDROSMESSER!F:F))</f>
        <v>0</v>
      </c>
      <c r="L88" s="29">
        <f>+Tabla1[[#This Row],[Cilindros de Nitrogeno ]]-(SUMIF(ENTREGACILINDROSMESSER!D:D,Tabla1[[#This Row],[Num. Orden de compra]],ENTREGACILINDROSMESSER!G:G))</f>
        <v>0</v>
      </c>
      <c r="M88" s="29">
        <f>+Tabla1[[#This Row],[Cilindros de Aire Seco]]-(SUMIF(ENTREGACILINDROSMESSER!D:D,Tabla1[[#This Row],[Num. Orden de compra]],ENTREGACILINDROSMESSER!H:H))</f>
        <v>0</v>
      </c>
      <c r="N88" s="29">
        <f>+Tabla1[[#This Row],[Cilindros de Aire Cero]]-(SUMIF(ENTREGACILINDROSMESSER!D:D,Tabla2[Num. Orden de compra],ENTREGACILINDROSMESSER!I:I))</f>
        <v>0</v>
      </c>
      <c r="O88" s="29">
        <f t="shared" si="1"/>
        <v>0</v>
      </c>
      <c r="V88" s="1" t="str">
        <f>+IFERROR(IF(Tabla3[[#This Row],[Cilindros totales pendientes]]&gt;0,1,""),"")</f>
        <v/>
      </c>
    </row>
    <row r="89" spans="3:22" x14ac:dyDescent="0.25">
      <c r="C89" s="2"/>
      <c r="D89" s="2"/>
      <c r="E89" s="2"/>
      <c r="F89" s="2"/>
      <c r="G89" s="2"/>
      <c r="H89" s="2"/>
      <c r="I89" s="2"/>
      <c r="J89" s="2">
        <f>+Tabla1[[#This Row],[Cilindros de Hidrogeno]]-(SUMIF(ENTREGACILINDROSMESSER!D:D,Tabla1[[#This Row],[Num. Orden de compra]],ENTREGACILINDROSMESSER!E:E))</f>
        <v>0</v>
      </c>
      <c r="K89" s="29">
        <f>+Tabla1[[#This Row],[Cilindros de Argòn ]]-(SUMIF(ENTREGACILINDROSMESSER!D:D,Tabla1[[#This Row],[Num. Orden de compra]],ENTREGACILINDROSMESSER!F:F))</f>
        <v>0</v>
      </c>
      <c r="L89" s="29">
        <f>+Tabla1[[#This Row],[Cilindros de Nitrogeno ]]-(SUMIF(ENTREGACILINDROSMESSER!D:D,Tabla1[[#This Row],[Num. Orden de compra]],ENTREGACILINDROSMESSER!G:G))</f>
        <v>0</v>
      </c>
      <c r="M89" s="29">
        <f>+Tabla1[[#This Row],[Cilindros de Aire Seco]]-(SUMIF(ENTREGACILINDROSMESSER!D:D,Tabla1[[#This Row],[Num. Orden de compra]],ENTREGACILINDROSMESSER!H:H))</f>
        <v>0</v>
      </c>
      <c r="N89" s="29">
        <f>+Tabla1[[#This Row],[Cilindros de Aire Cero]]-(SUMIF(ENTREGACILINDROSMESSER!D:D,Tabla2[Num. Orden de compra],ENTREGACILINDROSMESSER!I:I))</f>
        <v>0</v>
      </c>
      <c r="O89" s="29">
        <f t="shared" si="1"/>
        <v>0</v>
      </c>
      <c r="V89" s="1" t="str">
        <f>+IFERROR(IF(Tabla3[[#This Row],[Cilindros totales pendientes]]&gt;0,1,""),"")</f>
        <v/>
      </c>
    </row>
    <row r="90" spans="3:22" x14ac:dyDescent="0.25">
      <c r="C90" s="2"/>
      <c r="D90" s="2"/>
      <c r="E90" s="2"/>
      <c r="F90" s="2"/>
      <c r="G90" s="2"/>
      <c r="H90" s="2"/>
      <c r="I90" s="2"/>
      <c r="J90" s="2">
        <f>+Tabla1[[#This Row],[Cilindros de Hidrogeno]]-(SUMIF(ENTREGACILINDROSMESSER!D:D,Tabla1[[#This Row],[Num. Orden de compra]],ENTREGACILINDROSMESSER!E:E))</f>
        <v>0</v>
      </c>
      <c r="K90" s="26"/>
      <c r="L90" s="26"/>
      <c r="M90" s="26"/>
      <c r="N90" s="26"/>
      <c r="V90" s="1" t="str">
        <f>+IFERROR(IF(Tabla3[[#This Row],[Cilindros totales pendientes]]&gt;0,1,""),"")</f>
        <v/>
      </c>
    </row>
    <row r="91" spans="3:22" x14ac:dyDescent="0.25">
      <c r="C91" s="2"/>
      <c r="D91" s="2"/>
      <c r="E91" s="2"/>
      <c r="F91" s="2"/>
      <c r="G91" s="2"/>
      <c r="H91" s="2"/>
      <c r="I91" s="2"/>
      <c r="J91" s="2">
        <f>+Tabla1[[#This Row],[Cilindros de Hidrogeno]]-(SUMIF(ENTREGACILINDROSMESSER!D:D,Tabla1[[#This Row],[Num. Orden de compra]],ENTREGACILINDROSMESSER!E:E))</f>
        <v>0</v>
      </c>
      <c r="K91" s="26"/>
      <c r="L91" s="26"/>
      <c r="M91" s="26"/>
      <c r="N91" s="26"/>
      <c r="V91" s="1" t="str">
        <f>+IFERROR(IF(Tabla3[[#This Row],[Cilindros totales pendientes]]&gt;0,1,""),"")</f>
        <v/>
      </c>
    </row>
    <row r="92" spans="3:22" x14ac:dyDescent="0.25">
      <c r="C92" s="2"/>
      <c r="D92" s="2"/>
      <c r="E92" s="2"/>
      <c r="F92" s="2"/>
      <c r="G92" s="2"/>
      <c r="H92" s="2"/>
      <c r="I92" s="2"/>
      <c r="J92" s="2">
        <f>+Tabla1[[#This Row],[Cilindros de Hidrogeno]]-(SUMIF(ENTREGACILINDROSMESSER!D:D,Tabla1[[#This Row],[Num. Orden de compra]],ENTREGACILINDROSMESSER!E:E))</f>
        <v>0</v>
      </c>
      <c r="K92" s="26"/>
      <c r="L92" s="26"/>
      <c r="M92" s="26"/>
      <c r="N92" s="26"/>
      <c r="V92" s="1" t="str">
        <f>+IFERROR(IF(Tabla3[[#This Row],[Cilindros totales pendientes]]&gt;0,1,""),"")</f>
        <v/>
      </c>
    </row>
    <row r="93" spans="3:22" x14ac:dyDescent="0.25">
      <c r="C93" s="2"/>
      <c r="D93" s="2"/>
      <c r="E93" s="2"/>
      <c r="F93" s="2"/>
      <c r="G93" s="2"/>
      <c r="H93" s="2"/>
      <c r="I93" s="2"/>
      <c r="J93" s="2">
        <f>+Tabla1[[#This Row],[Cilindros de Hidrogeno]]-(SUMIF(ENTREGACILINDROSMESSER!D:D,Tabla1[[#This Row],[Num. Orden de compra]],ENTREGACILINDROSMESSER!E:E))</f>
        <v>0</v>
      </c>
      <c r="K93" s="26"/>
      <c r="L93" s="26"/>
      <c r="M93" s="26"/>
      <c r="N93" s="26"/>
      <c r="V93" s="1" t="str">
        <f>+IFERROR(IF(Tabla3[[#This Row],[Cilindros totales pendientes]]&gt;0,1,""),"")</f>
        <v/>
      </c>
    </row>
    <row r="94" spans="3:22" x14ac:dyDescent="0.25">
      <c r="C94" s="2"/>
      <c r="D94" s="2"/>
      <c r="E94" s="2"/>
      <c r="F94" s="2"/>
      <c r="G94" s="2"/>
      <c r="H94" s="2"/>
      <c r="I94" s="2"/>
      <c r="J94" s="2">
        <f>+Tabla1[[#This Row],[Cilindros de Hidrogeno]]-(SUMIF(ENTREGACILINDROSMESSER!D:D,Tabla1[[#This Row],[Num. Orden de compra]],ENTREGACILINDROSMESSER!E:E))</f>
        <v>0</v>
      </c>
      <c r="K94" s="26"/>
      <c r="L94" s="26"/>
      <c r="M94" s="26"/>
      <c r="N94" s="26"/>
      <c r="V94" s="1" t="str">
        <f>+IFERROR(IF(Tabla3[[#This Row],[Cilindros totales pendientes]]&gt;0,1,""),"")</f>
        <v/>
      </c>
    </row>
    <row r="95" spans="3:22" x14ac:dyDescent="0.25">
      <c r="C95" s="2"/>
      <c r="D95" s="2"/>
      <c r="E95" s="2"/>
      <c r="F95" s="2"/>
      <c r="G95" s="2"/>
      <c r="H95" s="2"/>
      <c r="I95" s="2"/>
      <c r="J95" s="2">
        <f>+Tabla1[[#This Row],[Cilindros de Hidrogeno]]-(SUMIF(ENTREGACILINDROSMESSER!D:D,Tabla1[[#This Row],[Num. Orden de compra]],ENTREGACILINDROSMESSER!E:E))</f>
        <v>0</v>
      </c>
      <c r="K95" s="26"/>
      <c r="L95" s="26"/>
      <c r="M95" s="26"/>
      <c r="N95" s="26"/>
      <c r="V95" s="1" t="str">
        <f>+IFERROR(IF(Tabla3[[#This Row],[Cilindros totales pendientes]]&gt;0,1,""),"")</f>
        <v/>
      </c>
    </row>
    <row r="96" spans="3:22" x14ac:dyDescent="0.25">
      <c r="C96" s="2"/>
      <c r="D96" s="2"/>
      <c r="E96" s="2"/>
      <c r="F96" s="2"/>
      <c r="G96" s="2"/>
      <c r="H96" s="2"/>
      <c r="I96" s="2"/>
      <c r="J96" s="2">
        <f>+Tabla1[[#This Row],[Cilindros de Hidrogeno]]-(SUMIF(ENTREGACILINDROSMESSER!D:D,Tabla1[[#This Row],[Num. Orden de compra]],ENTREGACILINDROSMESSER!E:E))</f>
        <v>0</v>
      </c>
      <c r="K96" s="26"/>
      <c r="L96" s="26"/>
      <c r="M96" s="26"/>
      <c r="N96" s="26"/>
      <c r="V96" s="1" t="str">
        <f>+IFERROR(IF(Tabla3[[#This Row],[Cilindros totales pendientes]]&gt;0,1,""),"")</f>
        <v/>
      </c>
    </row>
    <row r="97" spans="3:22" x14ac:dyDescent="0.25">
      <c r="C97" s="2"/>
      <c r="D97" s="2"/>
      <c r="E97" s="2"/>
      <c r="F97" s="2"/>
      <c r="G97" s="2"/>
      <c r="H97" s="2"/>
      <c r="I97" s="2"/>
      <c r="J97" s="2">
        <f>+Tabla1[[#This Row],[Cilindros de Hidrogeno]]-(SUMIF(ENTREGACILINDROSMESSER!D:D,Tabla1[[#This Row],[Num. Orden de compra]],ENTREGACILINDROSMESSER!E:E))</f>
        <v>0</v>
      </c>
      <c r="K97" s="26"/>
      <c r="L97" s="26"/>
      <c r="M97" s="26"/>
      <c r="N97" s="26"/>
      <c r="V97" s="1" t="str">
        <f>+IFERROR(IF(Tabla3[[#This Row],[Cilindros totales pendientes]]&gt;0,1,""),"")</f>
        <v/>
      </c>
    </row>
    <row r="98" spans="3:22" x14ac:dyDescent="0.25">
      <c r="C98" s="2"/>
      <c r="D98" s="2"/>
      <c r="E98" s="2"/>
      <c r="F98" s="2"/>
      <c r="G98" s="2"/>
      <c r="H98" s="2"/>
      <c r="I98" s="46"/>
      <c r="J98" s="46">
        <f>+Tabla1[[#This Row],[Cilindros de Hidrogeno]]-(SUMIF(ENTREGACILINDROSMESSER!D:D,Tabla1[[#This Row],[Num. Orden de compra]],ENTREGACILINDROSMESSER!E:E))</f>
        <v>0</v>
      </c>
      <c r="K98" s="26"/>
      <c r="L98" s="26"/>
      <c r="M98" s="26"/>
      <c r="N98" s="26"/>
      <c r="V98" s="1" t="str">
        <f>+IFERROR(IF(Tabla3[[#This Row],[Cilindros totales pendientes]]&gt;0,1,""),"")</f>
        <v/>
      </c>
    </row>
    <row r="99" spans="3:22" x14ac:dyDescent="0.25">
      <c r="H99" s="26"/>
      <c r="I99" s="26"/>
      <c r="J99" s="26"/>
      <c r="K99" s="26"/>
      <c r="L99" s="26"/>
      <c r="M99" s="26"/>
      <c r="N99" s="26"/>
      <c r="V99" s="1" t="str">
        <f>+IFERROR(IF(Tabla3[[#This Row],[Cilindros totales pendientes]]&gt;0,1,""),"")</f>
        <v/>
      </c>
    </row>
    <row r="100" spans="3:22" x14ac:dyDescent="0.25">
      <c r="H100" s="26"/>
      <c r="I100" s="26"/>
      <c r="J100" s="26"/>
      <c r="V100" s="1" t="str">
        <f>+IFERROR(IF(Tabla3[[#This Row],[Cilindros totales pendientes]]&gt;0,1,""),"")</f>
        <v/>
      </c>
    </row>
    <row r="101" spans="3:22" x14ac:dyDescent="0.25">
      <c r="H101" s="26"/>
      <c r="I101" s="26"/>
      <c r="J101" s="26"/>
      <c r="V101" s="1" t="str">
        <f>+IFERROR(IF(Tabla3[[#This Row],[Cilindros totales pendientes]]&gt;0,1,""),"")</f>
        <v/>
      </c>
    </row>
    <row r="102" spans="3:22" x14ac:dyDescent="0.25">
      <c r="H102" s="26"/>
      <c r="I102" s="26"/>
      <c r="J102" s="26"/>
      <c r="V102" s="1" t="str">
        <f>+IFERROR(IF(Tabla3[[#This Row],[Cilindros totales pendientes]]&gt;0,1,""),"")</f>
        <v/>
      </c>
    </row>
    <row r="103" spans="3:22" x14ac:dyDescent="0.25">
      <c r="H103" s="26"/>
      <c r="I103" s="26"/>
      <c r="J103" s="26"/>
      <c r="V103" s="1" t="str">
        <f>+IFERROR(IF(Tabla3[[#This Row],[Cilindros totales pendientes]]&gt;0,1,""),"")</f>
        <v/>
      </c>
    </row>
    <row r="104" spans="3:22" x14ac:dyDescent="0.25">
      <c r="H104" s="26"/>
      <c r="I104" s="26"/>
      <c r="J104" s="26"/>
      <c r="V104" s="1" t="str">
        <f>+IFERROR(IF(Tabla3[[#This Row],[Cilindros totales pendientes]]&gt;0,1,""),"")</f>
        <v/>
      </c>
    </row>
    <row r="105" spans="3:22" x14ac:dyDescent="0.25">
      <c r="H105" s="26"/>
      <c r="I105" s="26"/>
      <c r="J105" s="26"/>
      <c r="V105" s="1" t="str">
        <f>+IFERROR(IF(Tabla3[[#This Row],[Cilindros totales pendientes]]&gt;0,1,""),"")</f>
        <v/>
      </c>
    </row>
    <row r="106" spans="3:22" x14ac:dyDescent="0.25">
      <c r="H106" s="26"/>
      <c r="I106" s="26"/>
      <c r="J106" s="26"/>
      <c r="V106" s="1" t="str">
        <f>+IFERROR(IF(Tabla3[[#This Row],[Cilindros totales pendientes]]&gt;0,1,""),"")</f>
        <v/>
      </c>
    </row>
    <row r="107" spans="3:22" x14ac:dyDescent="0.25">
      <c r="H107" s="26"/>
      <c r="I107" s="26"/>
      <c r="J107" s="26"/>
      <c r="V107" s="1" t="str">
        <f>+IFERROR(IF(Tabla3[[#This Row],[Cilindros totales pendientes]]&gt;0,1,""),"")</f>
        <v/>
      </c>
    </row>
    <row r="108" spans="3:22" x14ac:dyDescent="0.25">
      <c r="H108" s="26"/>
      <c r="I108" s="26"/>
      <c r="J108" s="26"/>
      <c r="V108" s="1" t="str">
        <f>+IFERROR(IF(Tabla3[[#This Row],[Cilindros totales pendientes]]&gt;0,1,""),"")</f>
        <v/>
      </c>
    </row>
    <row r="109" spans="3:22" x14ac:dyDescent="0.25">
      <c r="H109" s="26"/>
      <c r="I109" s="26"/>
      <c r="J109" s="26"/>
      <c r="V109" s="1" t="str">
        <f>+IFERROR(IF(Tabla3[[#This Row],[Cilindros totales pendientes]]&gt;0,1,""),"")</f>
        <v/>
      </c>
    </row>
    <row r="110" spans="3:22" x14ac:dyDescent="0.25">
      <c r="H110" s="26"/>
      <c r="I110" s="26"/>
      <c r="J110" s="26"/>
      <c r="V110" s="1" t="str">
        <f>+IFERROR(IF(Tabla3[[#This Row],[Cilindros totales pendientes]]&gt;0,1,""),"")</f>
        <v/>
      </c>
    </row>
    <row r="111" spans="3:22" x14ac:dyDescent="0.25">
      <c r="H111" s="26"/>
      <c r="I111" s="26"/>
      <c r="J111" s="26"/>
      <c r="V111" s="1" t="str">
        <f>+IFERROR(IF(Tabla3[[#This Row],[Cilindros totales pendientes]]&gt;0,1,""),"")</f>
        <v/>
      </c>
    </row>
    <row r="112" spans="3:22" x14ac:dyDescent="0.25">
      <c r="H112" s="26"/>
      <c r="I112" s="26"/>
      <c r="J112" s="26"/>
      <c r="V112" s="1" t="str">
        <f>+IFERROR(IF(Tabla3[[#This Row],[Cilindros totales pendientes]]&gt;0,1,""),"")</f>
        <v/>
      </c>
    </row>
    <row r="113" spans="8:22" x14ac:dyDescent="0.25">
      <c r="H113" s="26"/>
      <c r="I113" s="26"/>
      <c r="J113" s="26"/>
      <c r="V113" s="1" t="str">
        <f>+IFERROR(IF(Tabla3[[#This Row],[Cilindros totales pendientes]]&gt;0,1,""),"")</f>
        <v/>
      </c>
    </row>
    <row r="114" spans="8:22" x14ac:dyDescent="0.25">
      <c r="H114" s="26"/>
      <c r="I114" s="26"/>
      <c r="J114" s="26"/>
      <c r="V114" s="1" t="str">
        <f>+IFERROR(IF(Tabla3[[#This Row],[Cilindros totales pendientes]]&gt;0,1,""),"")</f>
        <v/>
      </c>
    </row>
    <row r="115" spans="8:22" x14ac:dyDescent="0.25">
      <c r="H115" s="26"/>
      <c r="I115" s="26"/>
      <c r="J115" s="26"/>
      <c r="V115" s="1" t="str">
        <f>+IFERROR(IF(Tabla3[[#This Row],[Cilindros totales pendientes]]&gt;0,1,""),"")</f>
        <v/>
      </c>
    </row>
    <row r="116" spans="8:22" x14ac:dyDescent="0.25">
      <c r="H116" s="26"/>
      <c r="I116" s="26"/>
      <c r="J116" s="26"/>
      <c r="V116" s="1" t="str">
        <f>+IFERROR(IF(Tabla3[[#This Row],[Cilindros totales pendientes]]&gt;0,1,""),"")</f>
        <v/>
      </c>
    </row>
    <row r="117" spans="8:22" x14ac:dyDescent="0.25">
      <c r="H117" s="26"/>
      <c r="I117" s="26"/>
      <c r="J117" s="26"/>
      <c r="V117" s="1" t="str">
        <f>+IFERROR(IF(Tabla3[[#This Row],[Cilindros totales pendientes]]&gt;0,1,""),"")</f>
        <v/>
      </c>
    </row>
    <row r="118" spans="8:22" x14ac:dyDescent="0.25">
      <c r="H118" s="26"/>
      <c r="I118" s="26"/>
      <c r="J118" s="26"/>
      <c r="V118" s="1" t="str">
        <f>+IFERROR(IF(Tabla3[[#This Row],[Cilindros totales pendientes]]&gt;0,1,""),"")</f>
        <v/>
      </c>
    </row>
    <row r="119" spans="8:22" x14ac:dyDescent="0.25">
      <c r="H119" s="26"/>
      <c r="I119" s="26"/>
      <c r="J119" s="26"/>
      <c r="V119" s="1" t="str">
        <f>+IFERROR(IF(Tabla3[[#This Row],[Cilindros totales pendientes]]&gt;0,1,""),"")</f>
        <v/>
      </c>
    </row>
    <row r="120" spans="8:22" x14ac:dyDescent="0.25">
      <c r="H120" s="26"/>
      <c r="I120" s="26"/>
      <c r="J120" s="26"/>
      <c r="V120" s="1" t="str">
        <f>+IFERROR(IF(Tabla3[[#This Row],[Cilindros totales pendientes]]&gt;0,1,""),"")</f>
        <v/>
      </c>
    </row>
    <row r="121" spans="8:22" x14ac:dyDescent="0.25">
      <c r="H121" s="26"/>
      <c r="I121" s="26"/>
      <c r="J121" s="26"/>
      <c r="V121" s="1" t="str">
        <f>+IFERROR(IF(Tabla3[[#This Row],[Cilindros totales pendientes]]&gt;0,1,""),"")</f>
        <v/>
      </c>
    </row>
    <row r="122" spans="8:22" x14ac:dyDescent="0.25">
      <c r="H122" s="26"/>
      <c r="I122" s="26"/>
      <c r="J122" s="26"/>
      <c r="V122" s="1" t="str">
        <f>+IFERROR(IF(Tabla3[[#This Row],[Cilindros totales pendientes]]&gt;0,1,""),"")</f>
        <v/>
      </c>
    </row>
    <row r="123" spans="8:22" x14ac:dyDescent="0.25">
      <c r="H123" s="26"/>
      <c r="I123" s="26"/>
      <c r="J123" s="26"/>
      <c r="V123" s="1" t="str">
        <f>+IFERROR(IF(Tabla3[[#This Row],[Cilindros totales pendientes]]&gt;0,1,""),"")</f>
        <v/>
      </c>
    </row>
    <row r="124" spans="8:22" x14ac:dyDescent="0.25">
      <c r="H124" s="26"/>
      <c r="I124" s="26"/>
      <c r="J124" s="26"/>
      <c r="V124" s="1" t="str">
        <f>+IFERROR(IF(Tabla3[[#This Row],[Cilindros totales pendientes]]&gt;0,1,""),"")</f>
        <v/>
      </c>
    </row>
    <row r="125" spans="8:22" x14ac:dyDescent="0.25">
      <c r="H125" s="26"/>
      <c r="I125" s="26"/>
      <c r="J125" s="26"/>
      <c r="V125" s="1" t="str">
        <f>+IFERROR(IF(Tabla3[[#This Row],[Cilindros totales pendientes]]&gt;0,1,""),"")</f>
        <v/>
      </c>
    </row>
    <row r="126" spans="8:22" x14ac:dyDescent="0.25">
      <c r="H126" s="26"/>
      <c r="I126" s="26"/>
      <c r="J126" s="26"/>
      <c r="V126" s="1" t="str">
        <f>+IFERROR(IF(Tabla3[[#This Row],[Cilindros totales pendientes]]&gt;0,1,""),"")</f>
        <v/>
      </c>
    </row>
    <row r="127" spans="8:22" x14ac:dyDescent="0.25">
      <c r="H127" s="26"/>
      <c r="I127" s="26"/>
      <c r="J127" s="26"/>
      <c r="V127" s="1" t="str">
        <f>+IFERROR(IF(Tabla3[[#This Row],[Cilindros totales pendientes]]&gt;0,1,""),"")</f>
        <v/>
      </c>
    </row>
    <row r="128" spans="8:22" x14ac:dyDescent="0.25">
      <c r="H128" s="26"/>
      <c r="I128" s="26"/>
      <c r="J128" s="26"/>
      <c r="V128" s="1" t="str">
        <f>+IFERROR(IF(Tabla3[[#This Row],[Cilindros totales pendientes]]&gt;0,1,""),"")</f>
        <v/>
      </c>
    </row>
    <row r="129" spans="8:22" x14ac:dyDescent="0.25">
      <c r="H129" s="26"/>
      <c r="I129" s="26"/>
      <c r="J129" s="26"/>
      <c r="V129" s="1" t="str">
        <f>+IFERROR(IF(Tabla3[[#This Row],[Cilindros totales pendientes]]&gt;0,1,""),"")</f>
        <v/>
      </c>
    </row>
    <row r="130" spans="8:22" x14ac:dyDescent="0.25">
      <c r="H130" s="26"/>
      <c r="I130" s="26"/>
      <c r="J130" s="26"/>
      <c r="V130" s="1" t="str">
        <f>+IFERROR(IF(Tabla3[[#This Row],[Cilindros totales pendientes]]&gt;0,1,""),"")</f>
        <v/>
      </c>
    </row>
    <row r="131" spans="8:22" x14ac:dyDescent="0.25">
      <c r="H131" s="26"/>
      <c r="I131" s="26"/>
      <c r="J131" s="26"/>
      <c r="V131" s="1" t="str">
        <f>+IFERROR(IF(Tabla3[[#This Row],[Cilindros totales pendientes]]&gt;0,1,""),"")</f>
        <v/>
      </c>
    </row>
    <row r="132" spans="8:22" x14ac:dyDescent="0.25">
      <c r="H132" s="26"/>
      <c r="I132" s="26"/>
      <c r="J132" s="26"/>
      <c r="V132" s="1" t="str">
        <f>+IFERROR(IF(Tabla3[[#This Row],[Cilindros totales pendientes]]&gt;0,1,""),"")</f>
        <v/>
      </c>
    </row>
    <row r="133" spans="8:22" x14ac:dyDescent="0.25">
      <c r="H133" s="26"/>
      <c r="I133" s="26"/>
      <c r="J133" s="26"/>
      <c r="V133" s="1" t="str">
        <f>+IFERROR(IF(Tabla3[[#This Row],[Cilindros totales pendientes]]&gt;0,1,""),"")</f>
        <v/>
      </c>
    </row>
    <row r="134" spans="8:22" x14ac:dyDescent="0.25">
      <c r="H134" s="26"/>
      <c r="I134" s="26"/>
      <c r="J134" s="26"/>
      <c r="V134" s="1" t="str">
        <f>+IFERROR(IF(Tabla3[[#This Row],[Cilindros totales pendientes]]&gt;0,1,""),"")</f>
        <v/>
      </c>
    </row>
    <row r="135" spans="8:22" x14ac:dyDescent="0.25">
      <c r="H135" s="26"/>
      <c r="I135" s="26"/>
      <c r="J135" s="26"/>
      <c r="V135" s="1" t="str">
        <f>+IFERROR(IF(Tabla3[[#This Row],[Cilindros totales pendientes]]&gt;0,1,""),"")</f>
        <v/>
      </c>
    </row>
    <row r="136" spans="8:22" x14ac:dyDescent="0.25">
      <c r="H136" s="26"/>
      <c r="I136" s="26"/>
      <c r="J136" s="26"/>
      <c r="V136" s="1" t="str">
        <f>+IFERROR(IF(Tabla3[[#This Row],[Cilindros totales pendientes]]&gt;0,1,""),"")</f>
        <v/>
      </c>
    </row>
    <row r="137" spans="8:22" x14ac:dyDescent="0.25">
      <c r="H137" s="26"/>
      <c r="I137" s="26"/>
      <c r="J137" s="26"/>
      <c r="V137" s="1" t="str">
        <f>+IFERROR(IF(Tabla3[[#This Row],[Cilindros totales pendientes]]&gt;0,1,""),"")</f>
        <v/>
      </c>
    </row>
    <row r="138" spans="8:22" x14ac:dyDescent="0.25">
      <c r="H138" s="26"/>
      <c r="I138" s="26"/>
      <c r="J138" s="26"/>
      <c r="V138" s="1" t="str">
        <f>+IFERROR(IF(Tabla3[[#This Row],[Cilindros totales pendientes]]&gt;0,1,""),"")</f>
        <v/>
      </c>
    </row>
    <row r="139" spans="8:22" x14ac:dyDescent="0.25">
      <c r="H139" s="26"/>
      <c r="I139" s="26"/>
      <c r="J139" s="26"/>
      <c r="V139" s="1" t="str">
        <f>+IFERROR(IF(Tabla3[[#This Row],[Cilindros totales pendientes]]&gt;0,1,""),"")</f>
        <v/>
      </c>
    </row>
    <row r="140" spans="8:22" x14ac:dyDescent="0.25">
      <c r="H140" s="26"/>
      <c r="I140" s="26"/>
      <c r="J140" s="26"/>
      <c r="V140" s="1" t="str">
        <f>+IFERROR(IF(Tabla3[[#This Row],[Cilindros totales pendientes]]&gt;0,1,""),"")</f>
        <v/>
      </c>
    </row>
    <row r="141" spans="8:22" x14ac:dyDescent="0.25">
      <c r="H141" s="26"/>
      <c r="I141" s="26"/>
      <c r="J141" s="26"/>
      <c r="V141" s="1" t="str">
        <f>+IFERROR(IF(Tabla3[[#This Row],[Cilindros totales pendientes]]&gt;0,1,""),"")</f>
        <v/>
      </c>
    </row>
    <row r="142" spans="8:22" x14ac:dyDescent="0.25">
      <c r="H142" s="26"/>
      <c r="I142" s="26"/>
      <c r="J142" s="26"/>
      <c r="V142" s="1" t="str">
        <f>+IFERROR(IF(Tabla3[[#This Row],[Cilindros totales pendientes]]&gt;0,1,""),"")</f>
        <v/>
      </c>
    </row>
    <row r="143" spans="8:22" x14ac:dyDescent="0.25">
      <c r="H143" s="26"/>
      <c r="I143" s="26"/>
      <c r="J143" s="26"/>
      <c r="V143" s="1" t="str">
        <f>+IFERROR(IF(Tabla3[[#This Row],[Cilindros totales pendientes]]&gt;0,1,""),"")</f>
        <v/>
      </c>
    </row>
    <row r="144" spans="8:22" x14ac:dyDescent="0.25">
      <c r="H144" s="26"/>
      <c r="I144" s="26"/>
      <c r="J144" s="26"/>
      <c r="V144" s="1" t="str">
        <f>+IFERROR(IF(Tabla3[[#This Row],[Cilindros totales pendientes]]&gt;0,1,""),"")</f>
        <v/>
      </c>
    </row>
    <row r="145" spans="8:22" x14ac:dyDescent="0.25">
      <c r="H145" s="26"/>
      <c r="I145" s="26"/>
      <c r="J145" s="26"/>
      <c r="V145" s="1" t="str">
        <f>+IFERROR(IF(Tabla3[[#This Row],[Cilindros totales pendientes]]&gt;0,1,""),"")</f>
        <v/>
      </c>
    </row>
    <row r="146" spans="8:22" x14ac:dyDescent="0.25">
      <c r="H146" s="26"/>
      <c r="I146" s="26"/>
      <c r="J146" s="26"/>
      <c r="V146" s="1" t="str">
        <f>+IFERROR(IF(Tabla3[[#This Row],[Cilindros totales pendientes]]&gt;0,1,""),"")</f>
        <v/>
      </c>
    </row>
    <row r="147" spans="8:22" x14ac:dyDescent="0.25">
      <c r="H147" s="26"/>
      <c r="I147" s="26"/>
      <c r="J147" s="26"/>
      <c r="V147" s="1" t="str">
        <f>+IFERROR(IF(Tabla3[[#This Row],[Cilindros totales pendientes]]&gt;0,1,""),"")</f>
        <v/>
      </c>
    </row>
    <row r="148" spans="8:22" x14ac:dyDescent="0.25">
      <c r="H148" s="26"/>
      <c r="I148" s="26"/>
      <c r="J148" s="26"/>
      <c r="V148" s="1" t="str">
        <f>+IFERROR(IF(Tabla3[[#This Row],[Cilindros totales pendientes]]&gt;0,1,""),"")</f>
        <v/>
      </c>
    </row>
    <row r="149" spans="8:22" x14ac:dyDescent="0.25">
      <c r="H149" s="26"/>
      <c r="I149" s="26"/>
      <c r="J149" s="26"/>
      <c r="V149" s="1" t="str">
        <f>+IFERROR(IF(Tabla3[[#This Row],[Cilindros totales pendientes]]&gt;0,1,""),"")</f>
        <v/>
      </c>
    </row>
    <row r="150" spans="8:22" x14ac:dyDescent="0.25">
      <c r="H150" s="26"/>
      <c r="I150" s="26"/>
      <c r="J150" s="26"/>
      <c r="V150" s="1" t="str">
        <f>+IFERROR(IF(Tabla3[[#This Row],[Cilindros totales pendientes]]&gt;0,1,""),"")</f>
        <v/>
      </c>
    </row>
    <row r="151" spans="8:22" x14ac:dyDescent="0.25">
      <c r="H151" s="26"/>
      <c r="I151" s="26"/>
      <c r="J151" s="26"/>
      <c r="V151" s="1" t="str">
        <f>+IFERROR(IF(Tabla3[[#This Row],[Cilindros totales pendientes]]&gt;0,1,""),"")</f>
        <v/>
      </c>
    </row>
    <row r="152" spans="8:22" x14ac:dyDescent="0.25">
      <c r="H152" s="26"/>
      <c r="I152" s="26"/>
      <c r="J152" s="26"/>
      <c r="V152" s="1" t="str">
        <f>+IFERROR(IF(Tabla3[[#This Row],[Cilindros totales pendientes]]&gt;0,1,""),"")</f>
        <v/>
      </c>
    </row>
    <row r="153" spans="8:22" x14ac:dyDescent="0.25">
      <c r="H153" s="26"/>
      <c r="I153" s="26"/>
      <c r="J153" s="26"/>
      <c r="V153" s="1" t="str">
        <f>+IFERROR(IF(Tabla3[[#This Row],[Cilindros totales pendientes]]&gt;0,1,""),"")</f>
        <v/>
      </c>
    </row>
    <row r="154" spans="8:22" x14ac:dyDescent="0.25">
      <c r="H154" s="26"/>
      <c r="I154" s="26"/>
      <c r="J154" s="26"/>
      <c r="V154" s="1" t="str">
        <f>+IFERROR(IF(Tabla3[[#This Row],[Cilindros totales pendientes]]&gt;0,1,""),"")</f>
        <v/>
      </c>
    </row>
    <row r="155" spans="8:22" x14ac:dyDescent="0.25">
      <c r="H155" s="26"/>
      <c r="I155" s="26"/>
      <c r="J155" s="26"/>
      <c r="V155" s="1" t="str">
        <f>+IFERROR(IF(Tabla3[[#This Row],[Cilindros totales pendientes]]&gt;0,1,""),"")</f>
        <v/>
      </c>
    </row>
    <row r="156" spans="8:22" x14ac:dyDescent="0.25">
      <c r="H156" s="26"/>
      <c r="I156" s="26"/>
      <c r="J156" s="26"/>
      <c r="V156" s="1" t="str">
        <f>+IFERROR(IF(Tabla3[[#This Row],[Cilindros totales pendientes]]&gt;0,1,""),"")</f>
        <v/>
      </c>
    </row>
    <row r="157" spans="8:22" x14ac:dyDescent="0.25">
      <c r="H157" s="26"/>
      <c r="I157" s="26"/>
      <c r="J157" s="26"/>
      <c r="V157" s="1" t="str">
        <f>+IFERROR(IF(Tabla3[[#This Row],[Cilindros totales pendientes]]&gt;0,1,""),"")</f>
        <v/>
      </c>
    </row>
    <row r="158" spans="8:22" x14ac:dyDescent="0.25">
      <c r="H158" s="26"/>
      <c r="I158" s="26"/>
      <c r="J158" s="26"/>
      <c r="V158" s="1" t="str">
        <f>+IFERROR(IF(Tabla3[[#This Row],[Cilindros totales pendientes]]&gt;0,1,""),"")</f>
        <v/>
      </c>
    </row>
    <row r="159" spans="8:22" x14ac:dyDescent="0.25">
      <c r="H159" s="26"/>
      <c r="I159" s="26"/>
      <c r="J159" s="26"/>
      <c r="V159" s="1" t="str">
        <f>+IFERROR(IF(Tabla3[[#This Row],[Cilindros totales pendientes]]&gt;0,1,""),"")</f>
        <v/>
      </c>
    </row>
    <row r="160" spans="8:22" x14ac:dyDescent="0.25">
      <c r="H160" s="26"/>
      <c r="I160" s="26"/>
      <c r="J160" s="26"/>
      <c r="V160" s="1" t="str">
        <f>+IFERROR(IF(Tabla3[[#This Row],[Cilindros totales pendientes]]&gt;0,1,""),"")</f>
        <v/>
      </c>
    </row>
    <row r="161" spans="8:22" x14ac:dyDescent="0.25">
      <c r="H161" s="26"/>
      <c r="I161" s="26"/>
      <c r="J161" s="26"/>
      <c r="V161" s="1" t="str">
        <f>+IFERROR(IF(Tabla3[[#This Row],[Cilindros totales pendientes]]&gt;0,1,""),"")</f>
        <v/>
      </c>
    </row>
    <row r="162" spans="8:22" x14ac:dyDescent="0.25">
      <c r="H162" s="26"/>
      <c r="I162" s="26"/>
      <c r="J162" s="26"/>
      <c r="V162" s="1" t="str">
        <f>+IFERROR(IF(Tabla3[[#This Row],[Cilindros totales pendientes]]&gt;0,1,""),"")</f>
        <v/>
      </c>
    </row>
    <row r="163" spans="8:22" x14ac:dyDescent="0.25">
      <c r="H163" s="26"/>
      <c r="I163" s="26"/>
      <c r="J163" s="26"/>
      <c r="V163" s="1" t="str">
        <f>+IFERROR(IF(Tabla3[[#This Row],[Cilindros totales pendientes]]&gt;0,1,""),"")</f>
        <v/>
      </c>
    </row>
    <row r="164" spans="8:22" x14ac:dyDescent="0.25">
      <c r="H164" s="26"/>
      <c r="I164" s="26"/>
      <c r="J164" s="26"/>
      <c r="V164" s="1" t="str">
        <f>+IFERROR(IF(Tabla3[[#This Row],[Cilindros totales pendientes]]&gt;0,1,""),"")</f>
        <v/>
      </c>
    </row>
    <row r="165" spans="8:22" x14ac:dyDescent="0.25">
      <c r="H165" s="26"/>
      <c r="I165" s="26"/>
      <c r="J165" s="26"/>
      <c r="V165" s="1" t="str">
        <f>+IFERROR(IF(Tabla3[[#This Row],[Cilindros totales pendientes]]&gt;0,1,""),"")</f>
        <v/>
      </c>
    </row>
    <row r="166" spans="8:22" x14ac:dyDescent="0.25">
      <c r="H166" s="26"/>
      <c r="I166" s="26"/>
      <c r="J166" s="26"/>
      <c r="V166" s="1" t="str">
        <f>+IFERROR(IF(Tabla3[[#This Row],[Cilindros totales pendientes]]&gt;0,1,""),"")</f>
        <v/>
      </c>
    </row>
    <row r="167" spans="8:22" x14ac:dyDescent="0.25">
      <c r="H167" s="26"/>
      <c r="I167" s="26"/>
      <c r="J167" s="26"/>
      <c r="V167" s="1" t="str">
        <f>+IFERROR(IF(Tabla3[[#This Row],[Cilindros totales pendientes]]&gt;0,1,""),"")</f>
        <v/>
      </c>
    </row>
    <row r="168" spans="8:22" x14ac:dyDescent="0.25">
      <c r="H168" s="26"/>
      <c r="I168" s="26"/>
      <c r="J168" s="26"/>
      <c r="V168" s="1" t="str">
        <f>+IFERROR(IF(Tabla3[[#This Row],[Cilindros totales pendientes]]&gt;0,1,""),"")</f>
        <v/>
      </c>
    </row>
    <row r="169" spans="8:22" x14ac:dyDescent="0.25">
      <c r="H169" s="26"/>
      <c r="I169" s="26"/>
      <c r="J169" s="26"/>
      <c r="V169" s="1" t="str">
        <f>+IFERROR(IF(Tabla3[[#This Row],[Cilindros totales pendientes]]&gt;0,1,""),"")</f>
        <v/>
      </c>
    </row>
    <row r="170" spans="8:22" x14ac:dyDescent="0.25">
      <c r="H170" s="26"/>
      <c r="I170" s="26"/>
      <c r="J170" s="26"/>
      <c r="V170" s="1" t="str">
        <f>+IFERROR(IF(Tabla3[[#This Row],[Cilindros totales pendientes]]&gt;0,1,""),"")</f>
        <v/>
      </c>
    </row>
    <row r="171" spans="8:22" x14ac:dyDescent="0.25">
      <c r="H171" s="26"/>
      <c r="I171" s="26"/>
      <c r="J171" s="26"/>
      <c r="V171" s="1" t="str">
        <f>+IFERROR(IF(Tabla3[[#This Row],[Cilindros totales pendientes]]&gt;0,1,""),"")</f>
        <v/>
      </c>
    </row>
    <row r="172" spans="8:22" x14ac:dyDescent="0.25">
      <c r="H172" s="26"/>
      <c r="I172" s="26"/>
      <c r="J172" s="26"/>
      <c r="V172" s="1" t="str">
        <f>+IFERROR(IF(Tabla3[[#This Row],[Cilindros totales pendientes]]&gt;0,1,""),"")</f>
        <v/>
      </c>
    </row>
    <row r="173" spans="8:22" x14ac:dyDescent="0.25">
      <c r="H173" s="26"/>
      <c r="I173" s="26"/>
      <c r="J173" s="26"/>
      <c r="V173" s="1" t="str">
        <f>+IFERROR(IF(Tabla3[[#This Row],[Cilindros totales pendientes]]&gt;0,1,""),"")</f>
        <v/>
      </c>
    </row>
    <row r="174" spans="8:22" x14ac:dyDescent="0.25">
      <c r="H174" s="26"/>
      <c r="I174" s="26"/>
      <c r="J174" s="26"/>
      <c r="V174" s="1" t="str">
        <f>+IFERROR(IF(Tabla3[[#This Row],[Cilindros totales pendientes]]&gt;0,1,""),"")</f>
        <v/>
      </c>
    </row>
    <row r="175" spans="8:22" x14ac:dyDescent="0.25">
      <c r="H175" s="26"/>
      <c r="I175" s="26"/>
      <c r="J175" s="26"/>
      <c r="V175" s="1" t="str">
        <f>+IFERROR(IF(Tabla3[[#This Row],[Cilindros totales pendientes]]&gt;0,1,""),"")</f>
        <v/>
      </c>
    </row>
    <row r="176" spans="8:22" x14ac:dyDescent="0.25">
      <c r="H176" s="26"/>
      <c r="I176" s="26"/>
      <c r="J176" s="26"/>
      <c r="V176" s="1" t="str">
        <f>+IFERROR(IF(Tabla3[[#This Row],[Cilindros totales pendientes]]&gt;0,1,""),"")</f>
        <v/>
      </c>
    </row>
    <row r="177" spans="8:22" x14ac:dyDescent="0.25">
      <c r="H177" s="26"/>
      <c r="I177" s="26"/>
      <c r="J177" s="26"/>
      <c r="V177" s="1" t="str">
        <f>+IFERROR(IF(Tabla3[[#This Row],[Cilindros totales pendientes]]&gt;0,1,""),"")</f>
        <v/>
      </c>
    </row>
    <row r="178" spans="8:22" x14ac:dyDescent="0.25">
      <c r="H178" s="26"/>
      <c r="I178" s="26"/>
      <c r="J178" s="26"/>
      <c r="V178" s="1" t="str">
        <f>+IFERROR(IF(Tabla3[[#This Row],[Cilindros totales pendientes]]&gt;0,1,""),"")</f>
        <v/>
      </c>
    </row>
    <row r="179" spans="8:22" x14ac:dyDescent="0.25">
      <c r="H179" s="26"/>
      <c r="I179" s="26"/>
      <c r="J179" s="26"/>
      <c r="V179" s="1" t="str">
        <f>+IFERROR(IF(Tabla3[[#This Row],[Cilindros totales pendientes]]&gt;0,1,""),"")</f>
        <v/>
      </c>
    </row>
    <row r="180" spans="8:22" x14ac:dyDescent="0.25">
      <c r="H180" s="26"/>
      <c r="I180" s="26"/>
      <c r="J180" s="26"/>
      <c r="V180" s="1" t="str">
        <f>+IFERROR(IF(Tabla3[[#This Row],[Cilindros totales pendientes]]&gt;0,1,""),"")</f>
        <v/>
      </c>
    </row>
    <row r="181" spans="8:22" x14ac:dyDescent="0.25">
      <c r="H181" s="26"/>
      <c r="I181" s="26"/>
      <c r="J181" s="26"/>
      <c r="V181" s="1" t="str">
        <f>+IFERROR(IF(Tabla3[[#This Row],[Cilindros totales pendientes]]&gt;0,1,""),"")</f>
        <v/>
      </c>
    </row>
    <row r="182" spans="8:22" x14ac:dyDescent="0.25">
      <c r="H182" s="26"/>
      <c r="I182" s="26"/>
      <c r="J182" s="26"/>
      <c r="V182" s="1" t="str">
        <f>+IFERROR(IF(Tabla3[[#This Row],[Cilindros totales pendientes]]&gt;0,1,""),"")</f>
        <v/>
      </c>
    </row>
    <row r="183" spans="8:22" x14ac:dyDescent="0.25">
      <c r="H183" s="26"/>
      <c r="I183" s="26"/>
      <c r="J183" s="26"/>
      <c r="V183" s="1" t="str">
        <f>+IFERROR(IF(Tabla3[[#This Row],[Cilindros totales pendientes]]&gt;0,1,""),"")</f>
        <v/>
      </c>
    </row>
    <row r="184" spans="8:22" x14ac:dyDescent="0.25">
      <c r="H184" s="26"/>
      <c r="I184" s="26"/>
      <c r="J184" s="26"/>
      <c r="V184" s="1" t="str">
        <f>+IFERROR(IF(Tabla3[[#This Row],[Cilindros totales pendientes]]&gt;0,1,""),"")</f>
        <v/>
      </c>
    </row>
    <row r="185" spans="8:22" x14ac:dyDescent="0.25">
      <c r="H185" s="26"/>
      <c r="I185" s="26"/>
      <c r="J185" s="26"/>
      <c r="V185" s="1" t="str">
        <f>+IFERROR(IF(Tabla3[[#This Row],[Cilindros totales pendientes]]&gt;0,1,""),"")</f>
        <v/>
      </c>
    </row>
    <row r="186" spans="8:22" x14ac:dyDescent="0.25">
      <c r="H186" s="26"/>
      <c r="I186" s="26"/>
      <c r="J186" s="26"/>
      <c r="V186" s="1" t="str">
        <f>+IFERROR(IF(Tabla3[[#This Row],[Cilindros totales pendientes]]&gt;0,1,""),"")</f>
        <v/>
      </c>
    </row>
    <row r="187" spans="8:22" x14ac:dyDescent="0.25">
      <c r="H187" s="26"/>
      <c r="I187" s="26"/>
      <c r="J187" s="26"/>
      <c r="V187" s="1" t="str">
        <f>+IFERROR(IF(Tabla3[[#This Row],[Cilindros totales pendientes]]&gt;0,1,""),"")</f>
        <v/>
      </c>
    </row>
    <row r="188" spans="8:22" x14ac:dyDescent="0.25">
      <c r="H188" s="26"/>
      <c r="I188" s="26"/>
      <c r="J188" s="26"/>
      <c r="V188" s="1" t="str">
        <f>+IFERROR(IF(Tabla3[[#This Row],[Cilindros totales pendientes]]&gt;0,1,""),"")</f>
        <v/>
      </c>
    </row>
    <row r="189" spans="8:22" x14ac:dyDescent="0.25">
      <c r="H189" s="26"/>
      <c r="I189" s="26"/>
      <c r="J189" s="26"/>
      <c r="V189" s="1" t="str">
        <f>+IFERROR(IF(Tabla3[[#This Row],[Cilindros totales pendientes]]&gt;0,1,""),"")</f>
        <v/>
      </c>
    </row>
    <row r="190" spans="8:22" x14ac:dyDescent="0.25">
      <c r="H190" s="26"/>
      <c r="I190" s="26"/>
      <c r="J190" s="26"/>
      <c r="V190" s="1" t="str">
        <f>+IFERROR(IF(Tabla3[[#This Row],[Cilindros totales pendientes]]&gt;0,1,""),"")</f>
        <v/>
      </c>
    </row>
    <row r="191" spans="8:22" x14ac:dyDescent="0.25">
      <c r="H191" s="26"/>
      <c r="I191" s="26"/>
      <c r="J191" s="26"/>
      <c r="V191" s="1" t="str">
        <f>+IFERROR(IF(Tabla3[[#This Row],[Cilindros totales pendientes]]&gt;0,1,""),"")</f>
        <v/>
      </c>
    </row>
    <row r="192" spans="8:22" x14ac:dyDescent="0.25">
      <c r="H192" s="26"/>
      <c r="I192" s="26"/>
      <c r="J192" s="26"/>
      <c r="V192" s="1" t="str">
        <f>+IFERROR(IF(Tabla3[[#This Row],[Cilindros totales pendientes]]&gt;0,1,""),"")</f>
        <v/>
      </c>
    </row>
    <row r="193" spans="8:22" x14ac:dyDescent="0.25">
      <c r="H193" s="26"/>
      <c r="I193" s="26"/>
      <c r="J193" s="26"/>
      <c r="V193" s="1" t="str">
        <f>+IFERROR(IF(Tabla3[[#This Row],[Cilindros totales pendientes]]&gt;0,1,""),"")</f>
        <v/>
      </c>
    </row>
    <row r="194" spans="8:22" x14ac:dyDescent="0.25">
      <c r="H194" s="26"/>
      <c r="I194" s="26"/>
      <c r="J194" s="26"/>
      <c r="V194" s="1" t="str">
        <f>+IFERROR(IF(Tabla3[[#This Row],[Cilindros totales pendientes]]&gt;0,1,""),"")</f>
        <v/>
      </c>
    </row>
    <row r="195" spans="8:22" x14ac:dyDescent="0.25">
      <c r="H195" s="26"/>
      <c r="I195" s="26"/>
      <c r="J195" s="26"/>
      <c r="V195" s="1" t="str">
        <f>+IFERROR(IF(Tabla3[[#This Row],[Cilindros totales pendientes]]&gt;0,1,""),"")</f>
        <v/>
      </c>
    </row>
    <row r="196" spans="8:22" x14ac:dyDescent="0.25">
      <c r="H196" s="26"/>
      <c r="I196" s="26"/>
      <c r="J196" s="26"/>
      <c r="V196" s="1" t="str">
        <f>+IFERROR(IF(Tabla3[[#This Row],[Cilindros totales pendientes]]&gt;0,1,""),"")</f>
        <v/>
      </c>
    </row>
    <row r="197" spans="8:22" x14ac:dyDescent="0.25">
      <c r="H197" s="26"/>
      <c r="I197" s="26"/>
      <c r="J197" s="26"/>
      <c r="V197" s="1" t="str">
        <f>+IFERROR(IF(Tabla3[[#This Row],[Cilindros totales pendientes]]&gt;0,1,""),"")</f>
        <v/>
      </c>
    </row>
    <row r="198" spans="8:22" x14ac:dyDescent="0.25">
      <c r="H198" s="26"/>
      <c r="I198" s="26"/>
      <c r="J198" s="26"/>
      <c r="V198" s="1" t="str">
        <f>+IFERROR(IF(Tabla3[[#This Row],[Cilindros totales pendientes]]&gt;0,1,""),"")</f>
        <v/>
      </c>
    </row>
    <row r="199" spans="8:22" x14ac:dyDescent="0.25">
      <c r="H199" s="26"/>
      <c r="I199" s="26"/>
      <c r="J199" s="26"/>
      <c r="V199" s="1" t="str">
        <f>+IFERROR(IF(Tabla3[[#This Row],[Cilindros totales pendientes]]&gt;0,1,""),"")</f>
        <v/>
      </c>
    </row>
    <row r="200" spans="8:22" x14ac:dyDescent="0.25">
      <c r="H200" s="26"/>
      <c r="I200" s="26"/>
      <c r="J200" s="26"/>
      <c r="V200" s="1" t="str">
        <f>+IFERROR(IF(Tabla3[[#This Row],[Cilindros totales pendientes]]&gt;0,1,""),"")</f>
        <v/>
      </c>
    </row>
    <row r="201" spans="8:22" x14ac:dyDescent="0.25">
      <c r="H201" s="26"/>
      <c r="I201" s="26"/>
      <c r="J201" s="26"/>
      <c r="V201" s="1" t="str">
        <f>+IFERROR(IF(Tabla3[[#This Row],[Cilindros totales pendientes]]&gt;0,1,""),"")</f>
        <v/>
      </c>
    </row>
    <row r="202" spans="8:22" x14ac:dyDescent="0.25">
      <c r="H202" s="26"/>
      <c r="I202" s="26"/>
      <c r="J202" s="26"/>
      <c r="V202" s="1" t="str">
        <f>+IFERROR(IF(Tabla3[[#This Row],[Cilindros totales pendientes]]&gt;0,1,""),"")</f>
        <v/>
      </c>
    </row>
    <row r="203" spans="8:22" x14ac:dyDescent="0.25">
      <c r="H203" s="26"/>
      <c r="I203" s="26"/>
      <c r="J203" s="26"/>
      <c r="V203" s="1" t="str">
        <f>+IFERROR(IF(Tabla3[[#This Row],[Cilindros totales pendientes]]&gt;0,1,""),"")</f>
        <v/>
      </c>
    </row>
    <row r="204" spans="8:22" x14ac:dyDescent="0.25">
      <c r="H204" s="26"/>
      <c r="I204" s="26"/>
      <c r="J204" s="26"/>
      <c r="V204" s="1" t="str">
        <f>+IFERROR(IF(Tabla3[[#This Row],[Cilindros totales pendientes]]&gt;0,1,""),"")</f>
        <v/>
      </c>
    </row>
    <row r="205" spans="8:22" x14ac:dyDescent="0.25">
      <c r="H205" s="26"/>
      <c r="I205" s="26"/>
      <c r="J205" s="26"/>
      <c r="V205" s="1" t="str">
        <f>+IFERROR(IF(Tabla3[[#This Row],[Cilindros totales pendientes]]&gt;0,1,""),"")</f>
        <v/>
      </c>
    </row>
    <row r="206" spans="8:22" x14ac:dyDescent="0.25">
      <c r="H206" s="26"/>
      <c r="I206" s="26"/>
      <c r="J206" s="26"/>
      <c r="V206" s="1" t="str">
        <f>+IFERROR(IF(Tabla3[[#This Row],[Cilindros totales pendientes]]&gt;0,1,""),"")</f>
        <v/>
      </c>
    </row>
    <row r="207" spans="8:22" x14ac:dyDescent="0.25">
      <c r="H207" s="26"/>
      <c r="I207" s="26"/>
      <c r="J207" s="26"/>
      <c r="V207" s="1" t="str">
        <f>+IFERROR(IF(Tabla3[[#This Row],[Cilindros totales pendientes]]&gt;0,1,""),"")</f>
        <v/>
      </c>
    </row>
    <row r="208" spans="8:22" x14ac:dyDescent="0.25">
      <c r="H208" s="26"/>
      <c r="I208" s="26"/>
      <c r="J208" s="26"/>
      <c r="V208" s="1" t="str">
        <f>+IFERROR(IF(Tabla3[[#This Row],[Cilindros totales pendientes]]&gt;0,1,""),"")</f>
        <v/>
      </c>
    </row>
    <row r="209" spans="8:22" x14ac:dyDescent="0.25">
      <c r="H209" s="26"/>
      <c r="I209" s="26"/>
      <c r="J209" s="26"/>
      <c r="V209" s="1" t="str">
        <f>+IFERROR(IF(Tabla3[[#This Row],[Cilindros totales pendientes]]&gt;0,1,""),"")</f>
        <v/>
      </c>
    </row>
    <row r="210" spans="8:22" x14ac:dyDescent="0.25">
      <c r="H210" s="26"/>
      <c r="I210" s="26"/>
      <c r="J210" s="26"/>
      <c r="V210" s="1" t="str">
        <f>+IFERROR(IF(Tabla3[[#This Row],[Cilindros totales pendientes]]&gt;0,1,""),"")</f>
        <v/>
      </c>
    </row>
    <row r="211" spans="8:22" x14ac:dyDescent="0.25">
      <c r="H211" s="26"/>
      <c r="I211" s="26"/>
      <c r="J211" s="26"/>
      <c r="V211" s="1" t="str">
        <f>+IFERROR(IF(Tabla3[[#This Row],[Cilindros totales pendientes]]&gt;0,1,""),"")</f>
        <v/>
      </c>
    </row>
    <row r="212" spans="8:22" x14ac:dyDescent="0.25">
      <c r="H212" s="26"/>
      <c r="I212" s="26"/>
      <c r="J212" s="26"/>
      <c r="V212" s="1" t="str">
        <f>+IFERROR(IF(Tabla3[[#This Row],[Cilindros totales pendientes]]&gt;0,1,""),"")</f>
        <v/>
      </c>
    </row>
    <row r="213" spans="8:22" x14ac:dyDescent="0.25">
      <c r="H213" s="26"/>
      <c r="I213" s="26"/>
      <c r="J213" s="26"/>
      <c r="V213" s="1" t="str">
        <f>+IFERROR(IF(Tabla3[[#This Row],[Cilindros totales pendientes]]&gt;0,1,""),"")</f>
        <v/>
      </c>
    </row>
    <row r="214" spans="8:22" x14ac:dyDescent="0.25">
      <c r="H214" s="26"/>
      <c r="I214" s="26"/>
      <c r="J214" s="26"/>
      <c r="V214" s="1" t="str">
        <f>+IFERROR(IF(Tabla3[[#This Row],[Cilindros totales pendientes]]&gt;0,1,""),"")</f>
        <v/>
      </c>
    </row>
    <row r="215" spans="8:22" x14ac:dyDescent="0.25">
      <c r="H215" s="26"/>
      <c r="I215" s="26"/>
      <c r="J215" s="26"/>
      <c r="V215" s="1" t="str">
        <f>+IFERROR(IF(Tabla3[[#This Row],[Cilindros totales pendientes]]&gt;0,1,""),"")</f>
        <v/>
      </c>
    </row>
    <row r="216" spans="8:22" x14ac:dyDescent="0.25">
      <c r="H216" s="26"/>
      <c r="I216" s="26"/>
      <c r="J216" s="26"/>
      <c r="V216" s="1" t="str">
        <f>+IFERROR(IF(Tabla3[[#This Row],[Cilindros totales pendientes]]&gt;0,1,""),"")</f>
        <v/>
      </c>
    </row>
    <row r="217" spans="8:22" x14ac:dyDescent="0.25">
      <c r="H217" s="26"/>
      <c r="I217" s="26"/>
      <c r="J217" s="26"/>
      <c r="V217" s="1" t="str">
        <f>+IFERROR(IF(Tabla3[[#This Row],[Cilindros totales pendientes]]&gt;0,1,""),"")</f>
        <v/>
      </c>
    </row>
    <row r="218" spans="8:22" x14ac:dyDescent="0.25">
      <c r="H218" s="26"/>
      <c r="I218" s="26"/>
      <c r="J218" s="26"/>
      <c r="V218" s="1" t="str">
        <f>+IFERROR(IF(Tabla3[[#This Row],[Cilindros totales pendientes]]&gt;0,1,""),"")</f>
        <v/>
      </c>
    </row>
    <row r="219" spans="8:22" x14ac:dyDescent="0.25">
      <c r="H219" s="26"/>
      <c r="I219" s="26"/>
      <c r="J219" s="26"/>
      <c r="V219" s="1" t="str">
        <f>+IFERROR(IF(Tabla3[[#This Row],[Cilindros totales pendientes]]&gt;0,1,""),"")</f>
        <v/>
      </c>
    </row>
    <row r="220" spans="8:22" x14ac:dyDescent="0.25">
      <c r="H220" s="26"/>
      <c r="I220" s="26"/>
      <c r="J220" s="26"/>
      <c r="V220" s="1" t="str">
        <f>+IFERROR(IF(Tabla3[[#This Row],[Cilindros totales pendientes]]&gt;0,1,""),"")</f>
        <v/>
      </c>
    </row>
    <row r="221" spans="8:22" x14ac:dyDescent="0.25">
      <c r="H221" s="26"/>
      <c r="I221" s="26"/>
      <c r="J221" s="26"/>
      <c r="V221" s="1" t="str">
        <f>+IFERROR(IF(Tabla3[[#This Row],[Cilindros totales pendientes]]&gt;0,1,""),"")</f>
        <v/>
      </c>
    </row>
    <row r="222" spans="8:22" x14ac:dyDescent="0.25">
      <c r="H222" s="26"/>
      <c r="I222" s="26"/>
      <c r="J222" s="26"/>
      <c r="V222" s="1" t="str">
        <f>+IFERROR(IF(Tabla3[[#This Row],[Cilindros totales pendientes]]&gt;0,1,""),"")</f>
        <v/>
      </c>
    </row>
    <row r="223" spans="8:22" x14ac:dyDescent="0.25">
      <c r="H223" s="26"/>
      <c r="I223" s="26"/>
      <c r="J223" s="26"/>
      <c r="V223" s="1" t="str">
        <f>+IFERROR(IF(Tabla3[[#This Row],[Cilindros totales pendientes]]&gt;0,1,""),"")</f>
        <v/>
      </c>
    </row>
    <row r="224" spans="8:22" x14ac:dyDescent="0.25">
      <c r="H224" s="26"/>
      <c r="I224" s="26"/>
      <c r="J224" s="26"/>
      <c r="V224" s="1" t="str">
        <f>+IFERROR(IF(Tabla3[[#This Row],[Cilindros totales pendientes]]&gt;0,1,""),"")</f>
        <v/>
      </c>
    </row>
    <row r="225" spans="8:22" x14ac:dyDescent="0.25">
      <c r="H225" s="26"/>
      <c r="I225" s="26"/>
      <c r="J225" s="26"/>
      <c r="V225" s="1" t="str">
        <f>+IFERROR(IF(Tabla3[[#This Row],[Cilindros totales pendientes]]&gt;0,1,""),"")</f>
        <v/>
      </c>
    </row>
    <row r="226" spans="8:22" x14ac:dyDescent="0.25">
      <c r="H226" s="26"/>
      <c r="I226" s="26"/>
      <c r="J226" s="26"/>
      <c r="V226" s="1" t="str">
        <f>+IFERROR(IF(Tabla3[[#This Row],[Cilindros totales pendientes]]&gt;0,1,""),"")</f>
        <v/>
      </c>
    </row>
    <row r="227" spans="8:22" x14ac:dyDescent="0.25">
      <c r="H227" s="26"/>
      <c r="I227" s="26"/>
      <c r="J227" s="26"/>
      <c r="V227" s="1" t="str">
        <f>+IFERROR(IF(Tabla3[[#This Row],[Cilindros totales pendientes]]&gt;0,1,""),"")</f>
        <v/>
      </c>
    </row>
    <row r="228" spans="8:22" x14ac:dyDescent="0.25">
      <c r="H228" s="26"/>
      <c r="I228" s="26"/>
      <c r="J228" s="26"/>
      <c r="V228" s="1" t="str">
        <f>+IFERROR(IF(Tabla3[[#This Row],[Cilindros totales pendientes]]&gt;0,1,""),"")</f>
        <v/>
      </c>
    </row>
    <row r="229" spans="8:22" x14ac:dyDescent="0.25">
      <c r="H229" s="26"/>
      <c r="I229" s="26"/>
      <c r="J229" s="26"/>
      <c r="V229" s="1" t="str">
        <f>+IFERROR(IF(Tabla3[[#This Row],[Cilindros totales pendientes]]&gt;0,1,""),"")</f>
        <v/>
      </c>
    </row>
    <row r="230" spans="8:22" x14ac:dyDescent="0.25">
      <c r="H230" s="26"/>
      <c r="I230" s="26"/>
      <c r="J230" s="26"/>
      <c r="V230" s="1" t="str">
        <f>+IFERROR(IF(Tabla3[[#This Row],[Cilindros totales pendientes]]&gt;0,1,""),"")</f>
        <v/>
      </c>
    </row>
    <row r="231" spans="8:22" x14ac:dyDescent="0.25">
      <c r="H231" s="26"/>
      <c r="I231" s="26"/>
      <c r="J231" s="26"/>
      <c r="V231" s="1" t="str">
        <f>+IFERROR(IF(Tabla3[[#This Row],[Cilindros totales pendientes]]&gt;0,1,""),"")</f>
        <v/>
      </c>
    </row>
    <row r="232" spans="8:22" x14ac:dyDescent="0.25">
      <c r="H232" s="26"/>
      <c r="I232" s="26"/>
      <c r="J232" s="26"/>
      <c r="V232" s="1" t="str">
        <f>+IFERROR(IF(Tabla3[[#This Row],[Cilindros totales pendientes]]&gt;0,1,""),"")</f>
        <v/>
      </c>
    </row>
    <row r="233" spans="8:22" x14ac:dyDescent="0.25">
      <c r="H233" s="26"/>
      <c r="I233" s="26"/>
      <c r="J233" s="26"/>
      <c r="V233" s="1" t="str">
        <f>+IFERROR(IF(Tabla3[[#This Row],[Cilindros totales pendientes]]&gt;0,1,""),"")</f>
        <v/>
      </c>
    </row>
    <row r="234" spans="8:22" x14ac:dyDescent="0.25">
      <c r="H234" s="26"/>
      <c r="I234" s="26"/>
      <c r="J234" s="26"/>
      <c r="V234" s="1" t="str">
        <f>+IFERROR(IF(Tabla3[[#This Row],[Cilindros totales pendientes]]&gt;0,1,""),"")</f>
        <v/>
      </c>
    </row>
    <row r="235" spans="8:22" x14ac:dyDescent="0.25">
      <c r="H235" s="26"/>
      <c r="I235" s="26"/>
      <c r="J235" s="26"/>
      <c r="V235" s="1" t="str">
        <f>+IFERROR(IF(Tabla3[[#This Row],[Cilindros totales pendientes]]&gt;0,1,""),"")</f>
        <v/>
      </c>
    </row>
    <row r="236" spans="8:22" x14ac:dyDescent="0.25">
      <c r="H236" s="26"/>
      <c r="I236" s="26"/>
      <c r="J236" s="26"/>
      <c r="V236" s="1" t="str">
        <f>+IFERROR(IF(Tabla3[[#This Row],[Cilindros totales pendientes]]&gt;0,1,""),"")</f>
        <v/>
      </c>
    </row>
    <row r="237" spans="8:22" x14ac:dyDescent="0.25">
      <c r="H237" s="26"/>
      <c r="I237" s="26"/>
      <c r="J237" s="26"/>
      <c r="V237" s="1" t="str">
        <f>+IFERROR(IF(Tabla3[[#This Row],[Cilindros totales pendientes]]&gt;0,1,""),"")</f>
        <v/>
      </c>
    </row>
    <row r="238" spans="8:22" x14ac:dyDescent="0.25">
      <c r="H238" s="26"/>
      <c r="I238" s="26"/>
      <c r="J238" s="26"/>
      <c r="V238" s="1" t="str">
        <f>+IFERROR(IF(Tabla3[[#This Row],[Cilindros totales pendientes]]&gt;0,1,""),"")</f>
        <v/>
      </c>
    </row>
    <row r="239" spans="8:22" x14ac:dyDescent="0.25">
      <c r="H239" s="26"/>
      <c r="I239" s="26"/>
      <c r="J239" s="26"/>
      <c r="V239" s="1" t="str">
        <f>+IFERROR(IF(Tabla3[[#This Row],[Cilindros totales pendientes]]&gt;0,1,""),"")</f>
        <v/>
      </c>
    </row>
    <row r="240" spans="8:22" x14ac:dyDescent="0.25">
      <c r="H240" s="26"/>
      <c r="I240" s="26"/>
      <c r="J240" s="26"/>
      <c r="V240" s="1" t="str">
        <f>+IFERROR(IF(Tabla3[[#This Row],[Cilindros totales pendientes]]&gt;0,1,""),"")</f>
        <v/>
      </c>
    </row>
    <row r="241" spans="8:22" x14ac:dyDescent="0.25">
      <c r="H241" s="26"/>
      <c r="I241" s="26"/>
      <c r="J241" s="26"/>
      <c r="V241" s="1" t="str">
        <f>+IFERROR(IF(Tabla3[[#This Row],[Cilindros totales pendientes]]&gt;0,1,""),"")</f>
        <v/>
      </c>
    </row>
    <row r="242" spans="8:22" x14ac:dyDescent="0.25">
      <c r="H242" s="26"/>
      <c r="I242" s="26"/>
      <c r="J242" s="26"/>
      <c r="V242" s="1" t="str">
        <f>+IFERROR(IF(Tabla3[[#This Row],[Cilindros totales pendientes]]&gt;0,1,""),"")</f>
        <v/>
      </c>
    </row>
    <row r="243" spans="8:22" x14ac:dyDescent="0.25">
      <c r="H243" s="26"/>
      <c r="I243" s="26"/>
      <c r="J243" s="26"/>
      <c r="V243" s="1" t="str">
        <f>+IFERROR(IF(Tabla3[[#This Row],[Cilindros totales pendientes]]&gt;0,1,""),"")</f>
        <v/>
      </c>
    </row>
    <row r="244" spans="8:22" x14ac:dyDescent="0.25">
      <c r="H244" s="26"/>
      <c r="I244" s="26"/>
      <c r="J244" s="26"/>
      <c r="V244" s="1" t="str">
        <f>+IFERROR(IF(Tabla3[[#This Row],[Cilindros totales pendientes]]&gt;0,1,""),"")</f>
        <v/>
      </c>
    </row>
    <row r="245" spans="8:22" x14ac:dyDescent="0.25">
      <c r="H245" s="26"/>
      <c r="I245" s="26"/>
      <c r="J245" s="26"/>
      <c r="V245" s="1" t="str">
        <f>+IFERROR(IF(Tabla3[[#This Row],[Cilindros totales pendientes]]&gt;0,1,""),"")</f>
        <v/>
      </c>
    </row>
    <row r="246" spans="8:22" x14ac:dyDescent="0.25">
      <c r="H246" s="26"/>
      <c r="I246" s="26"/>
      <c r="J246" s="26"/>
      <c r="V246" s="1" t="str">
        <f>+IFERROR(IF(Tabla3[[#This Row],[Cilindros totales pendientes]]&gt;0,1,""),"")</f>
        <v/>
      </c>
    </row>
    <row r="247" spans="8:22" x14ac:dyDescent="0.25">
      <c r="H247" s="26"/>
      <c r="I247" s="26"/>
      <c r="J247" s="26"/>
      <c r="V247" s="1" t="str">
        <f>+IFERROR(IF(Tabla3[[#This Row],[Cilindros totales pendientes]]&gt;0,1,""),"")</f>
        <v/>
      </c>
    </row>
    <row r="248" spans="8:22" x14ac:dyDescent="0.25">
      <c r="H248" s="26"/>
      <c r="I248" s="26"/>
      <c r="J248" s="26"/>
      <c r="V248" s="1" t="str">
        <f>+IFERROR(IF(Tabla3[[#This Row],[Cilindros totales pendientes]]&gt;0,1,""),"")</f>
        <v/>
      </c>
    </row>
    <row r="249" spans="8:22" x14ac:dyDescent="0.25">
      <c r="H249" s="26"/>
      <c r="I249" s="26"/>
      <c r="J249" s="26"/>
      <c r="V249" s="1" t="str">
        <f>+IFERROR(IF(Tabla3[[#This Row],[Cilindros totales pendientes]]&gt;0,1,""),"")</f>
        <v/>
      </c>
    </row>
    <row r="250" spans="8:22" x14ac:dyDescent="0.25">
      <c r="H250" s="26"/>
      <c r="I250" s="26"/>
      <c r="J250" s="26"/>
      <c r="V250" s="1" t="str">
        <f>+IFERROR(IF(Tabla3[[#This Row],[Cilindros totales pendientes]]&gt;0,1,""),"")</f>
        <v/>
      </c>
    </row>
    <row r="251" spans="8:22" x14ac:dyDescent="0.25">
      <c r="H251" s="26"/>
      <c r="I251" s="26"/>
      <c r="J251" s="26"/>
      <c r="V251" s="1" t="str">
        <f>+IFERROR(IF(Tabla3[[#This Row],[Cilindros totales pendientes]]&gt;0,1,""),"")</f>
        <v/>
      </c>
    </row>
    <row r="252" spans="8:22" x14ac:dyDescent="0.25">
      <c r="H252" s="26"/>
      <c r="I252" s="26"/>
      <c r="J252" s="26"/>
      <c r="V252" s="1" t="str">
        <f>+IFERROR(IF(Tabla3[[#This Row],[Cilindros totales pendientes]]&gt;0,1,""),"")</f>
        <v/>
      </c>
    </row>
    <row r="253" spans="8:22" x14ac:dyDescent="0.25">
      <c r="H253" s="26"/>
      <c r="I253" s="26"/>
      <c r="J253" s="26"/>
      <c r="V253" s="1" t="str">
        <f>+IFERROR(IF(Tabla3[[#This Row],[Cilindros totales pendientes]]&gt;0,1,""),"")</f>
        <v/>
      </c>
    </row>
    <row r="254" spans="8:22" x14ac:dyDescent="0.25">
      <c r="H254" s="26"/>
      <c r="I254" s="26"/>
      <c r="J254" s="26"/>
      <c r="V254" s="1" t="str">
        <f>+IFERROR(IF(Tabla3[[#This Row],[Cilindros totales pendientes]]&gt;0,1,""),"")</f>
        <v/>
      </c>
    </row>
    <row r="255" spans="8:22" x14ac:dyDescent="0.25">
      <c r="H255" s="26"/>
      <c r="I255" s="26"/>
      <c r="J255" s="26"/>
      <c r="V255" s="1" t="str">
        <f>+IFERROR(IF(Tabla3[[#This Row],[Cilindros totales pendientes]]&gt;0,1,""),"")</f>
        <v/>
      </c>
    </row>
    <row r="256" spans="8:22" x14ac:dyDescent="0.25">
      <c r="H256" s="26"/>
      <c r="I256" s="26"/>
      <c r="J256" s="26"/>
      <c r="V256" s="1" t="str">
        <f>+IFERROR(IF(Tabla3[[#This Row],[Cilindros totales pendientes]]&gt;0,1,""),"")</f>
        <v/>
      </c>
    </row>
    <row r="257" spans="8:22" x14ac:dyDescent="0.25">
      <c r="H257" s="26"/>
      <c r="I257" s="26"/>
      <c r="J257" s="26"/>
      <c r="V257" s="1" t="str">
        <f>+IFERROR(IF(Tabla3[[#This Row],[Cilindros totales pendientes]]&gt;0,1,""),"")</f>
        <v/>
      </c>
    </row>
    <row r="258" spans="8:22" x14ac:dyDescent="0.25">
      <c r="H258" s="26"/>
      <c r="I258" s="26"/>
      <c r="J258" s="26"/>
      <c r="V258" s="1" t="str">
        <f>+IFERROR(IF(Tabla3[[#This Row],[Cilindros totales pendientes]]&gt;0,1,""),"")</f>
        <v/>
      </c>
    </row>
    <row r="259" spans="8:22" x14ac:dyDescent="0.25">
      <c r="H259" s="26"/>
      <c r="I259" s="26"/>
      <c r="J259" s="26"/>
      <c r="V259" s="1" t="str">
        <f>+IFERROR(IF(Tabla3[[#This Row],[Cilindros totales pendientes]]&gt;0,1,""),"")</f>
        <v/>
      </c>
    </row>
    <row r="260" spans="8:22" x14ac:dyDescent="0.25">
      <c r="H260" s="26"/>
      <c r="I260" s="26"/>
      <c r="J260" s="26"/>
      <c r="V260" s="1" t="str">
        <f>+IFERROR(IF(Tabla3[[#This Row],[Cilindros totales pendientes]]&gt;0,1,""),"")</f>
        <v/>
      </c>
    </row>
    <row r="261" spans="8:22" x14ac:dyDescent="0.25">
      <c r="H261" s="26"/>
      <c r="I261" s="26"/>
      <c r="J261" s="26"/>
      <c r="V261" s="1" t="str">
        <f>+IFERROR(IF(Tabla3[[#This Row],[Cilindros totales pendientes]]&gt;0,1,""),"")</f>
        <v/>
      </c>
    </row>
    <row r="262" spans="8:22" x14ac:dyDescent="0.25">
      <c r="H262" s="26"/>
      <c r="I262" s="26"/>
      <c r="J262" s="26"/>
      <c r="V262" s="1" t="str">
        <f>+IFERROR(IF(Tabla3[[#This Row],[Cilindros totales pendientes]]&gt;0,1,""),"")</f>
        <v/>
      </c>
    </row>
    <row r="263" spans="8:22" x14ac:dyDescent="0.25">
      <c r="H263" s="26"/>
      <c r="I263" s="26"/>
      <c r="J263" s="26"/>
      <c r="V263" s="1" t="str">
        <f>+IFERROR(IF(Tabla3[[#This Row],[Cilindros totales pendientes]]&gt;0,1,""),"")</f>
        <v/>
      </c>
    </row>
    <row r="264" spans="8:22" x14ac:dyDescent="0.25">
      <c r="H264" s="26"/>
      <c r="I264" s="26"/>
      <c r="J264" s="26"/>
      <c r="V264" s="1" t="str">
        <f>+IFERROR(IF(Tabla3[[#This Row],[Cilindros totales pendientes]]&gt;0,1,""),"")</f>
        <v/>
      </c>
    </row>
    <row r="265" spans="8:22" x14ac:dyDescent="0.25">
      <c r="H265" s="26"/>
      <c r="I265" s="26"/>
      <c r="J265" s="26"/>
      <c r="V265" s="1" t="str">
        <f>+IFERROR(IF(Tabla3[[#This Row],[Cilindros totales pendientes]]&gt;0,1,""),"")</f>
        <v/>
      </c>
    </row>
    <row r="266" spans="8:22" x14ac:dyDescent="0.25">
      <c r="H266" s="26"/>
      <c r="I266" s="26"/>
      <c r="J266" s="26"/>
      <c r="V266" s="1" t="str">
        <f>+IFERROR(IF(Tabla3[[#This Row],[Cilindros totales pendientes]]&gt;0,1,""),"")</f>
        <v/>
      </c>
    </row>
    <row r="267" spans="8:22" x14ac:dyDescent="0.25">
      <c r="H267" s="26"/>
      <c r="I267" s="26"/>
      <c r="J267" s="26"/>
      <c r="V267" s="1" t="str">
        <f>+IFERROR(IF(Tabla3[[#This Row],[Cilindros totales pendientes]]&gt;0,1,""),"")</f>
        <v/>
      </c>
    </row>
    <row r="268" spans="8:22" x14ac:dyDescent="0.25">
      <c r="H268" s="26"/>
      <c r="I268" s="26"/>
      <c r="J268" s="26"/>
      <c r="V268" s="1" t="str">
        <f>+IFERROR(IF(Tabla3[[#This Row],[Cilindros totales pendientes]]&gt;0,1,""),"")</f>
        <v/>
      </c>
    </row>
    <row r="269" spans="8:22" x14ac:dyDescent="0.25">
      <c r="H269" s="26"/>
      <c r="I269" s="26"/>
      <c r="J269" s="26"/>
      <c r="V269" s="1" t="str">
        <f>+IFERROR(IF(Tabla3[[#This Row],[Cilindros totales pendientes]]&gt;0,1,""),"")</f>
        <v/>
      </c>
    </row>
    <row r="270" spans="8:22" x14ac:dyDescent="0.25">
      <c r="H270" s="26"/>
      <c r="I270" s="26"/>
      <c r="J270" s="26"/>
      <c r="V270" s="1" t="str">
        <f>+IFERROR(IF(Tabla3[[#This Row],[Cilindros totales pendientes]]&gt;0,1,""),"")</f>
        <v/>
      </c>
    </row>
    <row r="271" spans="8:22" x14ac:dyDescent="0.25">
      <c r="H271" s="26"/>
      <c r="I271" s="26"/>
      <c r="J271" s="26"/>
      <c r="V271" s="1" t="str">
        <f>+IFERROR(IF(Tabla3[[#This Row],[Cilindros totales pendientes]]&gt;0,1,""),"")</f>
        <v/>
      </c>
    </row>
    <row r="272" spans="8:22" x14ac:dyDescent="0.25">
      <c r="H272" s="26"/>
      <c r="I272" s="26"/>
      <c r="J272" s="26"/>
      <c r="V272" s="1" t="str">
        <f>+IFERROR(IF(Tabla3[[#This Row],[Cilindros totales pendientes]]&gt;0,1,""),"")</f>
        <v/>
      </c>
    </row>
    <row r="273" spans="8:22" x14ac:dyDescent="0.25">
      <c r="H273" s="26"/>
      <c r="I273" s="26"/>
      <c r="J273" s="26"/>
      <c r="V273" s="1" t="str">
        <f>+IFERROR(IF(Tabla3[[#This Row],[Cilindros totales pendientes]]&gt;0,1,""),"")</f>
        <v/>
      </c>
    </row>
    <row r="274" spans="8:22" x14ac:dyDescent="0.25">
      <c r="H274" s="26"/>
      <c r="I274" s="26"/>
      <c r="J274" s="26"/>
      <c r="V274" s="1" t="str">
        <f>+IFERROR(IF(Tabla3[[#This Row],[Cilindros totales pendientes]]&gt;0,1,""),"")</f>
        <v/>
      </c>
    </row>
    <row r="275" spans="8:22" x14ac:dyDescent="0.25">
      <c r="H275" s="26"/>
      <c r="I275" s="26"/>
      <c r="J275" s="26"/>
      <c r="V275" s="1" t="str">
        <f>+IFERROR(IF(Tabla3[[#This Row],[Cilindros totales pendientes]]&gt;0,1,""),"")</f>
        <v/>
      </c>
    </row>
    <row r="276" spans="8:22" x14ac:dyDescent="0.25">
      <c r="H276" s="26"/>
      <c r="I276" s="26"/>
      <c r="J276" s="26"/>
      <c r="V276" s="1" t="str">
        <f>+IFERROR(IF(Tabla3[[#This Row],[Cilindros totales pendientes]]&gt;0,1,""),"")</f>
        <v/>
      </c>
    </row>
    <row r="277" spans="8:22" x14ac:dyDescent="0.25">
      <c r="H277" s="26"/>
      <c r="I277" s="26"/>
      <c r="J277" s="26"/>
      <c r="V277" s="1" t="str">
        <f>+IFERROR(IF(Tabla3[[#This Row],[Cilindros totales pendientes]]&gt;0,1,""),"")</f>
        <v/>
      </c>
    </row>
    <row r="278" spans="8:22" x14ac:dyDescent="0.25">
      <c r="H278" s="26"/>
      <c r="I278" s="26"/>
      <c r="J278" s="26"/>
      <c r="V278" s="1" t="str">
        <f>+IFERROR(IF(Tabla3[[#This Row],[Cilindros totales pendientes]]&gt;0,1,""),"")</f>
        <v/>
      </c>
    </row>
    <row r="279" spans="8:22" x14ac:dyDescent="0.25">
      <c r="H279" s="26"/>
      <c r="I279" s="26"/>
      <c r="J279" s="26"/>
      <c r="V279" s="1" t="str">
        <f>+IFERROR(IF(Tabla3[[#This Row],[Cilindros totales pendientes]]&gt;0,1,""),"")</f>
        <v/>
      </c>
    </row>
    <row r="280" spans="8:22" x14ac:dyDescent="0.25">
      <c r="H280" s="26"/>
      <c r="I280" s="26"/>
      <c r="J280" s="26"/>
      <c r="V280" s="1" t="str">
        <f>+IFERROR(IF(Tabla3[[#This Row],[Cilindros totales pendientes]]&gt;0,1,""),"")</f>
        <v/>
      </c>
    </row>
    <row r="281" spans="8:22" x14ac:dyDescent="0.25">
      <c r="H281" s="26"/>
      <c r="I281" s="26"/>
      <c r="J281" s="26"/>
      <c r="V281" s="1" t="str">
        <f>+IFERROR(IF(Tabla3[[#This Row],[Cilindros totales pendientes]]&gt;0,1,""),"")</f>
        <v/>
      </c>
    </row>
    <row r="282" spans="8:22" x14ac:dyDescent="0.25">
      <c r="H282" s="26"/>
      <c r="I282" s="26"/>
      <c r="J282" s="26"/>
      <c r="V282" s="1" t="str">
        <f>+IFERROR(IF(Tabla3[[#This Row],[Cilindros totales pendientes]]&gt;0,1,""),"")</f>
        <v/>
      </c>
    </row>
    <row r="283" spans="8:22" x14ac:dyDescent="0.25">
      <c r="H283" s="26"/>
      <c r="I283" s="26"/>
      <c r="J283" s="26"/>
      <c r="V283" s="1" t="str">
        <f>+IFERROR(IF(Tabla3[[#This Row],[Cilindros totales pendientes]]&gt;0,1,""),"")</f>
        <v/>
      </c>
    </row>
    <row r="284" spans="8:22" x14ac:dyDescent="0.25">
      <c r="H284" s="26"/>
      <c r="I284" s="26"/>
      <c r="J284" s="26"/>
      <c r="V284" s="1" t="str">
        <f>+IFERROR(IF(Tabla3[[#This Row],[Cilindros totales pendientes]]&gt;0,1,""),"")</f>
        <v/>
      </c>
    </row>
    <row r="285" spans="8:22" x14ac:dyDescent="0.25">
      <c r="H285" s="26"/>
      <c r="I285" s="26"/>
      <c r="J285" s="26"/>
      <c r="V285" s="1" t="str">
        <f>+IFERROR(IF(Tabla3[[#This Row],[Cilindros totales pendientes]]&gt;0,1,""),"")</f>
        <v/>
      </c>
    </row>
    <row r="286" spans="8:22" x14ac:dyDescent="0.25">
      <c r="H286" s="26"/>
      <c r="I286" s="26"/>
      <c r="J286" s="26"/>
      <c r="V286" s="1" t="str">
        <f>+IFERROR(IF(Tabla3[[#This Row],[Cilindros totales pendientes]]&gt;0,1,""),"")</f>
        <v/>
      </c>
    </row>
    <row r="287" spans="8:22" x14ac:dyDescent="0.25">
      <c r="H287" s="26"/>
      <c r="I287" s="26"/>
      <c r="J287" s="26"/>
      <c r="V287" s="1" t="str">
        <f>+IFERROR(IF(Tabla3[[#This Row],[Cilindros totales pendientes]]&gt;0,1,""),"")</f>
        <v/>
      </c>
    </row>
    <row r="288" spans="8:22" x14ac:dyDescent="0.25">
      <c r="H288" s="26"/>
      <c r="I288" s="26"/>
      <c r="J288" s="26"/>
      <c r="V288" s="1" t="str">
        <f>+IFERROR(IF(Tabla3[[#This Row],[Cilindros totales pendientes]]&gt;0,1,""),"")</f>
        <v/>
      </c>
    </row>
    <row r="289" spans="8:22" x14ac:dyDescent="0.25">
      <c r="H289" s="26"/>
      <c r="I289" s="26"/>
      <c r="J289" s="26"/>
      <c r="V289" s="1" t="str">
        <f>+IFERROR(IF(Tabla3[[#This Row],[Cilindros totales pendientes]]&gt;0,1,""),"")</f>
        <v/>
      </c>
    </row>
    <row r="290" spans="8:22" x14ac:dyDescent="0.25">
      <c r="H290" s="26"/>
      <c r="I290" s="26"/>
      <c r="J290" s="26"/>
      <c r="V290" s="1" t="str">
        <f>+IFERROR(IF(Tabla3[[#This Row],[Cilindros totales pendientes]]&gt;0,1,""),"")</f>
        <v/>
      </c>
    </row>
    <row r="291" spans="8:22" x14ac:dyDescent="0.25">
      <c r="H291" s="26"/>
      <c r="I291" s="26"/>
      <c r="J291" s="26"/>
      <c r="V291" s="1" t="str">
        <f>+IFERROR(IF(Tabla3[[#This Row],[Cilindros totales pendientes]]&gt;0,1,""),"")</f>
        <v/>
      </c>
    </row>
    <row r="292" spans="8:22" x14ac:dyDescent="0.25">
      <c r="H292" s="26"/>
      <c r="I292" s="26"/>
      <c r="J292" s="26"/>
      <c r="V292" s="1" t="str">
        <f>+IFERROR(IF(Tabla3[[#This Row],[Cilindros totales pendientes]]&gt;0,1,""),"")</f>
        <v/>
      </c>
    </row>
    <row r="293" spans="8:22" x14ac:dyDescent="0.25">
      <c r="H293" s="26"/>
      <c r="I293" s="26"/>
      <c r="J293" s="26"/>
      <c r="V293" s="1" t="str">
        <f>+IFERROR(IF(Tabla3[[#This Row],[Cilindros totales pendientes]]&gt;0,1,""),"")</f>
        <v/>
      </c>
    </row>
    <row r="294" spans="8:22" x14ac:dyDescent="0.25">
      <c r="H294" s="26"/>
      <c r="I294" s="26"/>
      <c r="J294" s="26"/>
      <c r="V294" s="1" t="str">
        <f>+IFERROR(IF(Tabla3[[#This Row],[Cilindros totales pendientes]]&gt;0,1,""),"")</f>
        <v/>
      </c>
    </row>
    <row r="295" spans="8:22" x14ac:dyDescent="0.25">
      <c r="H295" s="26"/>
      <c r="I295" s="26"/>
      <c r="J295" s="26"/>
      <c r="V295" s="1" t="str">
        <f>+IFERROR(IF(Tabla3[[#This Row],[Cilindros totales pendientes]]&gt;0,1,""),"")</f>
        <v/>
      </c>
    </row>
    <row r="296" spans="8:22" x14ac:dyDescent="0.25">
      <c r="H296" s="26"/>
      <c r="I296" s="26"/>
      <c r="J296" s="26"/>
      <c r="V296" s="1" t="str">
        <f>+IFERROR(IF(Tabla3[[#This Row],[Cilindros totales pendientes]]&gt;0,1,""),"")</f>
        <v/>
      </c>
    </row>
    <row r="297" spans="8:22" x14ac:dyDescent="0.25">
      <c r="H297" s="26"/>
      <c r="I297" s="26"/>
      <c r="J297" s="26"/>
      <c r="V297" s="1" t="str">
        <f>+IFERROR(IF(Tabla3[[#This Row],[Cilindros totales pendientes]]&gt;0,1,""),"")</f>
        <v/>
      </c>
    </row>
    <row r="298" spans="8:22" x14ac:dyDescent="0.25">
      <c r="H298" s="26"/>
      <c r="I298" s="26"/>
      <c r="J298" s="26"/>
      <c r="V298" s="1" t="str">
        <f>+IFERROR(IF(Tabla3[[#This Row],[Cilindros totales pendientes]]&gt;0,1,""),"")</f>
        <v/>
      </c>
    </row>
    <row r="299" spans="8:22" x14ac:dyDescent="0.25">
      <c r="H299" s="26"/>
      <c r="I299" s="26"/>
      <c r="J299" s="26"/>
      <c r="V299" s="1" t="str">
        <f>+IFERROR(IF(Tabla3[[#This Row],[Cilindros totales pendientes]]&gt;0,1,""),"")</f>
        <v/>
      </c>
    </row>
    <row r="300" spans="8:22" x14ac:dyDescent="0.25">
      <c r="H300" s="26"/>
      <c r="I300" s="26"/>
      <c r="J300" s="26"/>
      <c r="V300" s="1" t="str">
        <f>+IFERROR(IF(Tabla3[[#This Row],[Cilindros totales pendientes]]&gt;0,1,""),"")</f>
        <v/>
      </c>
    </row>
    <row r="301" spans="8:22" x14ac:dyDescent="0.25">
      <c r="H301" s="26"/>
      <c r="I301" s="26"/>
      <c r="J301" s="26"/>
      <c r="V301" s="1" t="str">
        <f>+IFERROR(IF(Tabla3[[#This Row],[Cilindros totales pendientes]]&gt;0,1,""),"")</f>
        <v/>
      </c>
    </row>
    <row r="302" spans="8:22" x14ac:dyDescent="0.25">
      <c r="H302" s="26"/>
      <c r="I302" s="26"/>
      <c r="J302" s="26"/>
      <c r="V302" s="1" t="str">
        <f>+IFERROR(IF(Tabla3[[#This Row],[Cilindros totales pendientes]]&gt;0,1,""),"")</f>
        <v/>
      </c>
    </row>
    <row r="303" spans="8:22" x14ac:dyDescent="0.25">
      <c r="H303" s="26"/>
      <c r="I303" s="26"/>
      <c r="J303" s="26"/>
      <c r="V303" s="1" t="str">
        <f>+IFERROR(IF(Tabla3[[#This Row],[Cilindros totales pendientes]]&gt;0,1,""),"")</f>
        <v/>
      </c>
    </row>
    <row r="304" spans="8:22" x14ac:dyDescent="0.25">
      <c r="H304" s="26"/>
      <c r="I304" s="26"/>
      <c r="J304" s="26"/>
      <c r="V304" s="1" t="str">
        <f>+IFERROR(IF(Tabla3[[#This Row],[Cilindros totales pendientes]]&gt;0,1,""),"")</f>
        <v/>
      </c>
    </row>
    <row r="305" spans="8:22" x14ac:dyDescent="0.25">
      <c r="H305" s="26"/>
      <c r="I305" s="26"/>
      <c r="J305" s="26"/>
      <c r="V305" s="1" t="str">
        <f>+IFERROR(IF(Tabla3[[#This Row],[Cilindros totales pendientes]]&gt;0,1,""),"")</f>
        <v/>
      </c>
    </row>
    <row r="306" spans="8:22" x14ac:dyDescent="0.25">
      <c r="H306" s="26"/>
      <c r="I306" s="26"/>
      <c r="J306" s="26"/>
      <c r="V306" s="1" t="str">
        <f>+IFERROR(IF(Tabla3[[#This Row],[Cilindros totales pendientes]]&gt;0,1,""),"")</f>
        <v/>
      </c>
    </row>
    <row r="307" spans="8:22" x14ac:dyDescent="0.25">
      <c r="H307" s="26"/>
      <c r="I307" s="26"/>
      <c r="J307" s="26"/>
      <c r="V307" s="1" t="str">
        <f>+IFERROR(IF(Tabla3[[#This Row],[Cilindros totales pendientes]]&gt;0,1,""),"")</f>
        <v/>
      </c>
    </row>
    <row r="308" spans="8:22" x14ac:dyDescent="0.25">
      <c r="H308" s="26"/>
      <c r="I308" s="26"/>
      <c r="J308" s="26"/>
      <c r="V308" s="1" t="str">
        <f>+IFERROR(IF(Tabla3[[#This Row],[Cilindros totales pendientes]]&gt;0,1,""),"")</f>
        <v/>
      </c>
    </row>
    <row r="309" spans="8:22" x14ac:dyDescent="0.25">
      <c r="H309" s="26"/>
      <c r="I309" s="26"/>
      <c r="J309" s="26"/>
      <c r="V309" s="1" t="str">
        <f>+IFERROR(IF(Tabla3[[#This Row],[Cilindros totales pendientes]]&gt;0,1,""),"")</f>
        <v/>
      </c>
    </row>
    <row r="310" spans="8:22" x14ac:dyDescent="0.25">
      <c r="H310" s="26"/>
      <c r="I310" s="26"/>
      <c r="J310" s="26"/>
      <c r="V310" s="1" t="str">
        <f>+IFERROR(IF(Tabla3[[#This Row],[Cilindros totales pendientes]]&gt;0,1,""),"")</f>
        <v/>
      </c>
    </row>
    <row r="311" spans="8:22" x14ac:dyDescent="0.25">
      <c r="H311" s="26"/>
      <c r="I311" s="26"/>
      <c r="J311" s="26"/>
      <c r="V311" s="1" t="str">
        <f>+IFERROR(IF(Tabla3[[#This Row],[Cilindros totales pendientes]]&gt;0,1,""),"")</f>
        <v/>
      </c>
    </row>
    <row r="312" spans="8:22" x14ac:dyDescent="0.25">
      <c r="H312" s="26"/>
      <c r="I312" s="26"/>
      <c r="J312" s="26"/>
      <c r="V312" s="1" t="str">
        <f>+IFERROR(IF(Tabla3[[#This Row],[Cilindros totales pendientes]]&gt;0,1,""),"")</f>
        <v/>
      </c>
    </row>
    <row r="313" spans="8:22" x14ac:dyDescent="0.25">
      <c r="H313" s="26"/>
      <c r="I313" s="26"/>
      <c r="J313" s="26"/>
      <c r="V313" s="1" t="str">
        <f>+IFERROR(IF(Tabla3[[#This Row],[Cilindros totales pendientes]]&gt;0,1,""),"")</f>
        <v/>
      </c>
    </row>
    <row r="314" spans="8:22" x14ac:dyDescent="0.25">
      <c r="H314" s="26"/>
      <c r="I314" s="26"/>
      <c r="J314" s="26"/>
      <c r="V314" s="1" t="str">
        <f>+IFERROR(IF(Tabla3[[#This Row],[Cilindros totales pendientes]]&gt;0,1,""),"")</f>
        <v/>
      </c>
    </row>
    <row r="315" spans="8:22" x14ac:dyDescent="0.25">
      <c r="H315" s="26"/>
      <c r="I315" s="26"/>
      <c r="J315" s="26"/>
      <c r="V315" s="1" t="str">
        <f>+IFERROR(IF(Tabla3[[#This Row],[Cilindros totales pendientes]]&gt;0,1,""),"")</f>
        <v/>
      </c>
    </row>
    <row r="316" spans="8:22" x14ac:dyDescent="0.25">
      <c r="H316" s="26"/>
      <c r="I316" s="26"/>
      <c r="J316" s="26"/>
      <c r="V316" s="1" t="str">
        <f>+IFERROR(IF(Tabla3[[#This Row],[Cilindros totales pendientes]]&gt;0,1,""),"")</f>
        <v/>
      </c>
    </row>
    <row r="317" spans="8:22" x14ac:dyDescent="0.25">
      <c r="H317" s="26"/>
      <c r="I317" s="26"/>
      <c r="J317" s="26"/>
      <c r="V317" s="1" t="str">
        <f>+IFERROR(IF(Tabla3[[#This Row],[Cilindros totales pendientes]]&gt;0,1,""),"")</f>
        <v/>
      </c>
    </row>
    <row r="318" spans="8:22" x14ac:dyDescent="0.25">
      <c r="H318" s="26"/>
      <c r="I318" s="26"/>
      <c r="J318" s="26"/>
      <c r="V318" s="1" t="str">
        <f>+IFERROR(IF(Tabla3[[#This Row],[Cilindros totales pendientes]]&gt;0,1,""),"")</f>
        <v/>
      </c>
    </row>
    <row r="319" spans="8:22" x14ac:dyDescent="0.25">
      <c r="H319" s="26"/>
      <c r="I319" s="26"/>
      <c r="J319" s="26"/>
      <c r="V319" s="1" t="str">
        <f>+IFERROR(IF(Tabla3[[#This Row],[Cilindros totales pendientes]]&gt;0,1,""),"")</f>
        <v/>
      </c>
    </row>
    <row r="320" spans="8:22" x14ac:dyDescent="0.25">
      <c r="H320" s="26"/>
      <c r="I320" s="26"/>
      <c r="J320" s="26"/>
      <c r="V320" s="1" t="str">
        <f>+IFERROR(IF(Tabla3[[#This Row],[Cilindros totales pendientes]]&gt;0,1,""),"")</f>
        <v/>
      </c>
    </row>
    <row r="321" spans="8:22" x14ac:dyDescent="0.25">
      <c r="H321" s="26"/>
      <c r="I321" s="26"/>
      <c r="J321" s="26"/>
      <c r="V321" s="1" t="str">
        <f>+IFERROR(IF(Tabla3[[#This Row],[Cilindros totales pendientes]]&gt;0,1,""),"")</f>
        <v/>
      </c>
    </row>
    <row r="322" spans="8:22" x14ac:dyDescent="0.25">
      <c r="H322" s="26"/>
      <c r="I322" s="26"/>
      <c r="J322" s="26"/>
      <c r="V322" s="1" t="str">
        <f>+IFERROR(IF(Tabla3[[#This Row],[Cilindros totales pendientes]]&gt;0,1,""),"")</f>
        <v/>
      </c>
    </row>
    <row r="323" spans="8:22" x14ac:dyDescent="0.25">
      <c r="H323" s="26"/>
      <c r="I323" s="26"/>
      <c r="J323" s="26"/>
      <c r="V323" s="1" t="str">
        <f>+IFERROR(IF(Tabla3[[#This Row],[Cilindros totales pendientes]]&gt;0,1,""),"")</f>
        <v/>
      </c>
    </row>
    <row r="324" spans="8:22" x14ac:dyDescent="0.25">
      <c r="H324" s="26"/>
      <c r="I324" s="26"/>
      <c r="J324" s="26"/>
      <c r="V324" s="1" t="str">
        <f>+IFERROR(IF(Tabla3[[#This Row],[Cilindros totales pendientes]]&gt;0,1,""),"")</f>
        <v/>
      </c>
    </row>
    <row r="325" spans="8:22" x14ac:dyDescent="0.25">
      <c r="H325" s="26"/>
      <c r="I325" s="26"/>
      <c r="J325" s="26"/>
      <c r="V325" s="1" t="str">
        <f>+IFERROR(IF(Tabla3[[#This Row],[Cilindros totales pendientes]]&gt;0,1,""),"")</f>
        <v/>
      </c>
    </row>
    <row r="326" spans="8:22" x14ac:dyDescent="0.25">
      <c r="H326" s="26"/>
      <c r="I326" s="26"/>
      <c r="J326" s="26"/>
      <c r="V326" s="1" t="str">
        <f>+IFERROR(IF(Tabla3[[#This Row],[Cilindros totales pendientes]]&gt;0,1,""),"")</f>
        <v/>
      </c>
    </row>
    <row r="327" spans="8:22" x14ac:dyDescent="0.25">
      <c r="H327" s="26"/>
      <c r="I327" s="26"/>
      <c r="J327" s="26"/>
      <c r="V327" s="1" t="str">
        <f>+IFERROR(IF(Tabla3[[#This Row],[Cilindros totales pendientes]]&gt;0,1,""),"")</f>
        <v/>
      </c>
    </row>
    <row r="328" spans="8:22" x14ac:dyDescent="0.25">
      <c r="H328" s="26"/>
      <c r="I328" s="26"/>
      <c r="J328" s="26"/>
      <c r="V328" s="1" t="str">
        <f>+IFERROR(IF(Tabla3[[#This Row],[Cilindros totales pendientes]]&gt;0,1,""),"")</f>
        <v/>
      </c>
    </row>
    <row r="329" spans="8:22" x14ac:dyDescent="0.25">
      <c r="H329" s="26"/>
      <c r="I329" s="26"/>
      <c r="J329" s="26"/>
      <c r="V329" s="1" t="str">
        <f>+IFERROR(IF(Tabla3[[#This Row],[Cilindros totales pendientes]]&gt;0,1,""),"")</f>
        <v/>
      </c>
    </row>
    <row r="330" spans="8:22" x14ac:dyDescent="0.25">
      <c r="H330" s="26"/>
      <c r="I330" s="26"/>
      <c r="J330" s="26"/>
      <c r="V330" s="1" t="str">
        <f>+IFERROR(IF(Tabla3[[#This Row],[Cilindros totales pendientes]]&gt;0,1,""),"")</f>
        <v/>
      </c>
    </row>
    <row r="331" spans="8:22" x14ac:dyDescent="0.25">
      <c r="H331" s="26"/>
      <c r="I331" s="26"/>
      <c r="J331" s="26"/>
      <c r="V331" s="1" t="str">
        <f>+IFERROR(IF(Tabla3[[#This Row],[Cilindros totales pendientes]]&gt;0,1,""),"")</f>
        <v/>
      </c>
    </row>
    <row r="332" spans="8:22" x14ac:dyDescent="0.25">
      <c r="H332" s="26"/>
      <c r="I332" s="26"/>
      <c r="J332" s="26"/>
      <c r="V332" s="1" t="str">
        <f>+IFERROR(IF(Tabla3[[#This Row],[Cilindros totales pendientes]]&gt;0,1,""),"")</f>
        <v/>
      </c>
    </row>
    <row r="333" spans="8:22" x14ac:dyDescent="0.25">
      <c r="H333" s="26"/>
      <c r="I333" s="26"/>
      <c r="J333" s="26"/>
      <c r="V333" s="1" t="str">
        <f>+IFERROR(IF(Tabla3[[#This Row],[Cilindros totales pendientes]]&gt;0,1,""),"")</f>
        <v/>
      </c>
    </row>
    <row r="334" spans="8:22" x14ac:dyDescent="0.25">
      <c r="H334" s="26"/>
      <c r="I334" s="26"/>
      <c r="J334" s="26"/>
      <c r="V334" s="1" t="str">
        <f>+IFERROR(IF(Tabla3[[#This Row],[Cilindros totales pendientes]]&gt;0,1,""),"")</f>
        <v/>
      </c>
    </row>
    <row r="335" spans="8:22" x14ac:dyDescent="0.25">
      <c r="H335" s="26"/>
      <c r="I335" s="26"/>
      <c r="J335" s="26"/>
      <c r="V335" s="1" t="str">
        <f>+IFERROR(IF(Tabla3[[#This Row],[Cilindros totales pendientes]]&gt;0,1,""),"")</f>
        <v/>
      </c>
    </row>
    <row r="336" spans="8:22" x14ac:dyDescent="0.25">
      <c r="H336" s="26"/>
      <c r="I336" s="26"/>
      <c r="J336" s="26"/>
      <c r="V336" s="1" t="str">
        <f>+IFERROR(IF(Tabla3[[#This Row],[Cilindros totales pendientes]]&gt;0,1,""),"")</f>
        <v/>
      </c>
    </row>
    <row r="337" spans="8:22" x14ac:dyDescent="0.25">
      <c r="H337" s="26"/>
      <c r="I337" s="26"/>
      <c r="J337" s="26"/>
      <c r="V337" s="1" t="str">
        <f>+IFERROR(IF(Tabla3[[#This Row],[Cilindros totales pendientes]]&gt;0,1,""),"")</f>
        <v/>
      </c>
    </row>
    <row r="338" spans="8:22" x14ac:dyDescent="0.25">
      <c r="V338" s="1" t="str">
        <f>+IFERROR(IF(Tabla3[[#This Row],[Cilindros totales pendientes]]&gt;0,1,""),"")</f>
        <v/>
      </c>
    </row>
    <row r="339" spans="8:22" x14ac:dyDescent="0.25">
      <c r="V339" s="1" t="str">
        <f>+IFERROR(IF(Tabla3[[#This Row],[Cilindros totales pendientes]]&gt;0,1,""),"")</f>
        <v/>
      </c>
    </row>
    <row r="340" spans="8:22" x14ac:dyDescent="0.25">
      <c r="V340" s="1" t="str">
        <f>+IFERROR(IF(Tabla3[[#This Row],[Cilindros totales pendientes]]&gt;0,1,""),"")</f>
        <v/>
      </c>
    </row>
    <row r="341" spans="8:22" x14ac:dyDescent="0.25">
      <c r="V341" s="1" t="str">
        <f>+IFERROR(IF(Tabla3[[#This Row],[Cilindros totales pendientes]]&gt;0,1,""),"")</f>
        <v/>
      </c>
    </row>
    <row r="342" spans="8:22" x14ac:dyDescent="0.25">
      <c r="V342" s="1" t="str">
        <f>+IFERROR(IF(Tabla3[[#This Row],[Cilindros totales pendientes]]&gt;0,1,""),"")</f>
        <v/>
      </c>
    </row>
    <row r="343" spans="8:22" x14ac:dyDescent="0.25">
      <c r="V343" s="1" t="str">
        <f>+IFERROR(IF(Tabla3[[#This Row],[Cilindros totales pendientes]]&gt;0,1,""),"")</f>
        <v/>
      </c>
    </row>
    <row r="344" spans="8:22" x14ac:dyDescent="0.25">
      <c r="V344" s="1" t="str">
        <f>+IFERROR(IF(Tabla3[[#This Row],[Cilindros totales pendientes]]&gt;0,1,""),"")</f>
        <v/>
      </c>
    </row>
    <row r="345" spans="8:22" x14ac:dyDescent="0.25">
      <c r="V345" s="1" t="str">
        <f>+IFERROR(IF(Tabla3[[#This Row],[Cilindros totales pendientes]]&gt;0,1,""),"")</f>
        <v/>
      </c>
    </row>
    <row r="346" spans="8:22" x14ac:dyDescent="0.25">
      <c r="V346" s="1" t="str">
        <f>+IFERROR(IF(Tabla3[[#This Row],[Cilindros totales pendientes]]&gt;0,1,""),"")</f>
        <v/>
      </c>
    </row>
    <row r="347" spans="8:22" x14ac:dyDescent="0.25">
      <c r="V347" s="1" t="str">
        <f>+IFERROR(IF(Tabla3[[#This Row],[Cilindros totales pendientes]]&gt;0,1,""),"")</f>
        <v/>
      </c>
    </row>
    <row r="348" spans="8:22" x14ac:dyDescent="0.25">
      <c r="V348" s="1" t="str">
        <f>+IFERROR(IF(Tabla3[[#This Row],[Cilindros totales pendientes]]&gt;0,1,""),"")</f>
        <v/>
      </c>
    </row>
    <row r="349" spans="8:22" x14ac:dyDescent="0.25">
      <c r="V349" s="1" t="str">
        <f>+IFERROR(IF(Tabla3[[#This Row],[Cilindros totales pendientes]]&gt;0,1,""),"")</f>
        <v/>
      </c>
    </row>
    <row r="350" spans="8:22" x14ac:dyDescent="0.25">
      <c r="V350" s="1" t="str">
        <f>+IFERROR(IF(Tabla3[[#This Row],[Cilindros totales pendientes]]&gt;0,1,""),"")</f>
        <v/>
      </c>
    </row>
    <row r="351" spans="8:22" x14ac:dyDescent="0.25">
      <c r="V351" s="1" t="str">
        <f>+IFERROR(IF(Tabla3[[#This Row],[Cilindros totales pendientes]]&gt;0,1,""),"")</f>
        <v/>
      </c>
    </row>
    <row r="352" spans="8:22" x14ac:dyDescent="0.25">
      <c r="V352" s="1" t="str">
        <f>+IFERROR(IF(Tabla3[[#This Row],[Cilindros totales pendientes]]&gt;0,1,""),"")</f>
        <v/>
      </c>
    </row>
    <row r="353" spans="22:22" x14ac:dyDescent="0.25">
      <c r="V353" s="1" t="str">
        <f>+IFERROR(IF(Tabla3[[#This Row],[Cilindros totales pendientes]]&gt;0,1,""),"")</f>
        <v/>
      </c>
    </row>
    <row r="354" spans="22:22" x14ac:dyDescent="0.25">
      <c r="V354" s="1" t="str">
        <f>+IFERROR(IF(Tabla3[[#This Row],[Cilindros totales pendientes]]&gt;0,1,""),"")</f>
        <v/>
      </c>
    </row>
    <row r="355" spans="22:22" x14ac:dyDescent="0.25">
      <c r="V355" s="1" t="str">
        <f>+IFERROR(IF(Tabla3[[#This Row],[Cilindros totales pendientes]]&gt;0,1,""),"")</f>
        <v/>
      </c>
    </row>
    <row r="356" spans="22:22" x14ac:dyDescent="0.25">
      <c r="V356" s="1" t="str">
        <f>+IFERROR(IF(Tabla3[[#This Row],[Cilindros totales pendientes]]&gt;0,1,""),"")</f>
        <v/>
      </c>
    </row>
    <row r="357" spans="22:22" x14ac:dyDescent="0.25">
      <c r="V357" s="1" t="str">
        <f>+IFERROR(IF(Tabla3[[#This Row],[Cilindros totales pendientes]]&gt;0,1,""),"")</f>
        <v/>
      </c>
    </row>
    <row r="358" spans="22:22" x14ac:dyDescent="0.25">
      <c r="V358" s="1" t="str">
        <f>+IFERROR(IF(Tabla3[[#This Row],[Cilindros totales pendientes]]&gt;0,1,""),"")</f>
        <v/>
      </c>
    </row>
    <row r="359" spans="22:22" x14ac:dyDescent="0.25">
      <c r="V359" s="1" t="str">
        <f>+IFERROR(IF(Tabla3[[#This Row],[Cilindros totales pendientes]]&gt;0,1,""),"")</f>
        <v/>
      </c>
    </row>
    <row r="360" spans="22:22" x14ac:dyDescent="0.25">
      <c r="V360" s="1" t="str">
        <f>+IFERROR(IF(Tabla3[[#This Row],[Cilindros totales pendientes]]&gt;0,1,""),"")</f>
        <v/>
      </c>
    </row>
    <row r="361" spans="22:22" x14ac:dyDescent="0.25">
      <c r="V361" s="1" t="str">
        <f>+IFERROR(IF(Tabla3[[#This Row],[Cilindros totales pendientes]]&gt;0,1,""),"")</f>
        <v/>
      </c>
    </row>
    <row r="362" spans="22:22" x14ac:dyDescent="0.25">
      <c r="V362" s="1" t="str">
        <f>+IFERROR(IF(Tabla3[[#This Row],[Cilindros totales pendientes]]&gt;0,1,""),"")</f>
        <v/>
      </c>
    </row>
    <row r="363" spans="22:22" x14ac:dyDescent="0.25">
      <c r="V363" s="1" t="str">
        <f>+IFERROR(IF(Tabla3[[#This Row],[Cilindros totales pendientes]]&gt;0,1,""),"")</f>
        <v/>
      </c>
    </row>
    <row r="364" spans="22:22" x14ac:dyDescent="0.25">
      <c r="V364" s="1" t="str">
        <f>+IFERROR(IF(Tabla3[[#This Row],[Cilindros totales pendientes]]&gt;0,1,""),"")</f>
        <v/>
      </c>
    </row>
    <row r="365" spans="22:22" x14ac:dyDescent="0.25">
      <c r="V365" s="1" t="str">
        <f>+IFERROR(IF(Tabla3[[#This Row],[Cilindros totales pendientes]]&gt;0,1,""),"")</f>
        <v/>
      </c>
    </row>
    <row r="366" spans="22:22" x14ac:dyDescent="0.25">
      <c r="V366" s="1" t="str">
        <f>+IFERROR(IF(Tabla3[[#This Row],[Cilindros totales pendientes]]&gt;0,1,""),"")</f>
        <v/>
      </c>
    </row>
    <row r="367" spans="22:22" x14ac:dyDescent="0.25">
      <c r="V367" s="1" t="str">
        <f>+IFERROR(IF(Tabla3[[#This Row],[Cilindros totales pendientes]]&gt;0,1,""),"")</f>
        <v/>
      </c>
    </row>
    <row r="368" spans="22:22" x14ac:dyDescent="0.25">
      <c r="V368" s="1" t="str">
        <f>+IFERROR(IF(Tabla3[[#This Row],[Cilindros totales pendientes]]&gt;0,1,""),"")</f>
        <v/>
      </c>
    </row>
    <row r="369" spans="22:22" x14ac:dyDescent="0.25">
      <c r="V369" s="1" t="str">
        <f>+IFERROR(IF(Tabla3[[#This Row],[Cilindros totales pendientes]]&gt;0,1,""),"")</f>
        <v/>
      </c>
    </row>
    <row r="370" spans="22:22" x14ac:dyDescent="0.25">
      <c r="V370" s="1" t="str">
        <f>+IFERROR(IF(Tabla3[[#This Row],[Cilindros totales pendientes]]&gt;0,1,""),"")</f>
        <v/>
      </c>
    </row>
    <row r="371" spans="22:22" x14ac:dyDescent="0.25">
      <c r="V371" s="1" t="str">
        <f>+IFERROR(IF(Tabla3[[#This Row],[Cilindros totales pendientes]]&gt;0,1,""),"")</f>
        <v/>
      </c>
    </row>
    <row r="372" spans="22:22" x14ac:dyDescent="0.25">
      <c r="V372" s="1" t="str">
        <f>+IFERROR(IF(Tabla3[[#This Row],[Cilindros totales pendientes]]&gt;0,1,""),"")</f>
        <v/>
      </c>
    </row>
    <row r="373" spans="22:22" x14ac:dyDescent="0.25">
      <c r="V373" s="1" t="str">
        <f>+IFERROR(IF(Tabla3[[#This Row],[Cilindros totales pendientes]]&gt;0,1,""),"")</f>
        <v/>
      </c>
    </row>
    <row r="374" spans="22:22" x14ac:dyDescent="0.25">
      <c r="V374" s="1" t="str">
        <f>+IFERROR(IF(Tabla3[[#This Row],[Cilindros totales pendientes]]&gt;0,1,""),"")</f>
        <v/>
      </c>
    </row>
    <row r="375" spans="22:22" x14ac:dyDescent="0.25">
      <c r="V375" s="1" t="str">
        <f>+IFERROR(IF(Tabla3[[#This Row],[Cilindros totales pendientes]]&gt;0,1,""),"")</f>
        <v/>
      </c>
    </row>
    <row r="376" spans="22:22" x14ac:dyDescent="0.25">
      <c r="V376" s="1" t="str">
        <f>+IFERROR(IF(Tabla3[[#This Row],[Cilindros totales pendientes]]&gt;0,1,""),"")</f>
        <v/>
      </c>
    </row>
    <row r="377" spans="22:22" x14ac:dyDescent="0.25">
      <c r="V377" s="1" t="str">
        <f>+IFERROR(IF(Tabla3[[#This Row],[Cilindros totales pendientes]]&gt;0,1,""),"")</f>
        <v/>
      </c>
    </row>
    <row r="378" spans="22:22" x14ac:dyDescent="0.25">
      <c r="V378" s="1" t="str">
        <f>+IFERROR(IF(Tabla3[[#This Row],[Cilindros totales pendientes]]&gt;0,1,""),"")</f>
        <v/>
      </c>
    </row>
    <row r="379" spans="22:22" x14ac:dyDescent="0.25">
      <c r="V379" s="1" t="str">
        <f>+IFERROR(IF(Tabla3[[#This Row],[Cilindros totales pendientes]]&gt;0,1,""),"")</f>
        <v/>
      </c>
    </row>
    <row r="380" spans="22:22" x14ac:dyDescent="0.25">
      <c r="V380" s="1" t="str">
        <f>+IFERROR(IF(Tabla3[[#This Row],[Cilindros totales pendientes]]&gt;0,1,""),"")</f>
        <v/>
      </c>
    </row>
    <row r="381" spans="22:22" x14ac:dyDescent="0.25">
      <c r="V381" s="1" t="str">
        <f>+IFERROR(IF(Tabla3[[#This Row],[Cilindros totales pendientes]]&gt;0,1,""),"")</f>
        <v/>
      </c>
    </row>
    <row r="382" spans="22:22" x14ac:dyDescent="0.25">
      <c r="V382" s="1" t="str">
        <f>+IFERROR(IF(Tabla3[[#This Row],[Cilindros totales pendientes]]&gt;0,1,""),"")</f>
        <v/>
      </c>
    </row>
    <row r="383" spans="22:22" x14ac:dyDescent="0.25">
      <c r="V383" s="1" t="str">
        <f>+IFERROR(IF(Tabla3[[#This Row],[Cilindros totales pendientes]]&gt;0,1,""),"")</f>
        <v/>
      </c>
    </row>
    <row r="384" spans="22:22" x14ac:dyDescent="0.25">
      <c r="V384" s="1" t="str">
        <f>+IFERROR(IF(Tabla3[[#This Row],[Cilindros totales pendientes]]&gt;0,1,""),"")</f>
        <v/>
      </c>
    </row>
    <row r="385" spans="22:22" x14ac:dyDescent="0.25">
      <c r="V385" s="1" t="str">
        <f>+IFERROR(IF(Tabla3[[#This Row],[Cilindros totales pendientes]]&gt;0,1,""),"")</f>
        <v/>
      </c>
    </row>
    <row r="386" spans="22:22" x14ac:dyDescent="0.25">
      <c r="V386" s="1" t="str">
        <f>+IFERROR(IF(Tabla3[[#This Row],[Cilindros totales pendientes]]&gt;0,1,""),"")</f>
        <v/>
      </c>
    </row>
    <row r="387" spans="22:22" x14ac:dyDescent="0.25">
      <c r="V387" s="1" t="str">
        <f>+IFERROR(IF(Tabla3[[#This Row],[Cilindros totales pendientes]]&gt;0,1,""),"")</f>
        <v/>
      </c>
    </row>
    <row r="388" spans="22:22" x14ac:dyDescent="0.25">
      <c r="V388" s="1" t="str">
        <f>+IFERROR(IF(Tabla3[[#This Row],[Cilindros totales pendientes]]&gt;0,1,""),"")</f>
        <v/>
      </c>
    </row>
    <row r="389" spans="22:22" x14ac:dyDescent="0.25">
      <c r="V389" s="1" t="str">
        <f>+IFERROR(IF(Tabla3[[#This Row],[Cilindros totales pendientes]]&gt;0,1,""),"")</f>
        <v/>
      </c>
    </row>
    <row r="390" spans="22:22" x14ac:dyDescent="0.25">
      <c r="V390" s="1" t="str">
        <f>+IFERROR(IF(Tabla3[[#This Row],[Cilindros totales pendientes]]&gt;0,1,""),"")</f>
        <v/>
      </c>
    </row>
    <row r="391" spans="22:22" x14ac:dyDescent="0.25">
      <c r="V391" s="1" t="str">
        <f>+IFERROR(IF(Tabla3[[#This Row],[Cilindros totales pendientes]]&gt;0,1,""),"")</f>
        <v/>
      </c>
    </row>
    <row r="392" spans="22:22" x14ac:dyDescent="0.25">
      <c r="V392" s="1" t="str">
        <f>+IFERROR(IF(Tabla3[[#This Row],[Cilindros totales pendientes]]&gt;0,1,""),"")</f>
        <v/>
      </c>
    </row>
    <row r="393" spans="22:22" x14ac:dyDescent="0.25">
      <c r="V393" s="1" t="str">
        <f>+IFERROR(IF(Tabla3[[#This Row],[Cilindros totales pendientes]]&gt;0,1,""),"")</f>
        <v/>
      </c>
    </row>
    <row r="394" spans="22:22" x14ac:dyDescent="0.25">
      <c r="V394" s="1" t="str">
        <f>+IFERROR(IF(Tabla3[[#This Row],[Cilindros totales pendientes]]&gt;0,1,""),"")</f>
        <v/>
      </c>
    </row>
    <row r="395" spans="22:22" x14ac:dyDescent="0.25">
      <c r="V395" s="1" t="str">
        <f>+IFERROR(IF(Tabla3[[#This Row],[Cilindros totales pendientes]]&gt;0,1,""),"")</f>
        <v/>
      </c>
    </row>
    <row r="396" spans="22:22" x14ac:dyDescent="0.25">
      <c r="V396" s="1" t="str">
        <f>+IFERROR(IF(Tabla3[[#This Row],[Cilindros totales pendientes]]&gt;0,1,""),"")</f>
        <v/>
      </c>
    </row>
    <row r="397" spans="22:22" x14ac:dyDescent="0.25">
      <c r="V397" s="1" t="str">
        <f>+IFERROR(IF(Tabla3[[#This Row],[Cilindros totales pendientes]]&gt;0,1,""),"")</f>
        <v/>
      </c>
    </row>
    <row r="398" spans="22:22" x14ac:dyDescent="0.25">
      <c r="V398" s="1" t="str">
        <f>+IFERROR(IF(Tabla3[[#This Row],[Cilindros totales pendientes]]&gt;0,1,""),"")</f>
        <v/>
      </c>
    </row>
    <row r="399" spans="22:22" x14ac:dyDescent="0.25">
      <c r="V399" s="1" t="str">
        <f>+IFERROR(IF(Tabla3[[#This Row],[Cilindros totales pendientes]]&gt;0,1,""),"")</f>
        <v/>
      </c>
    </row>
    <row r="400" spans="22:22" x14ac:dyDescent="0.25">
      <c r="V400" s="1" t="str">
        <f>+IFERROR(IF(Tabla3[[#This Row],[Cilindros totales pendientes]]&gt;0,1,""),"")</f>
        <v/>
      </c>
    </row>
    <row r="401" spans="22:22" x14ac:dyDescent="0.25">
      <c r="V401" s="1" t="str">
        <f>+IFERROR(IF(Tabla3[[#This Row],[Cilindros totales pendientes]]&gt;0,1,""),"")</f>
        <v/>
      </c>
    </row>
    <row r="402" spans="22:22" x14ac:dyDescent="0.25">
      <c r="V402" s="1" t="str">
        <f>+IFERROR(IF(Tabla3[[#This Row],[Cilindros totales pendientes]]&gt;0,1,""),"")</f>
        <v/>
      </c>
    </row>
    <row r="403" spans="22:22" x14ac:dyDescent="0.25">
      <c r="V403" s="1" t="str">
        <f>+IFERROR(IF(Tabla3[[#This Row],[Cilindros totales pendientes]]&gt;0,1,""),"")</f>
        <v/>
      </c>
    </row>
    <row r="404" spans="22:22" x14ac:dyDescent="0.25">
      <c r="V404" s="1" t="str">
        <f>+IFERROR(IF(Tabla3[[#This Row],[Cilindros totales pendientes]]&gt;0,1,""),"")</f>
        <v/>
      </c>
    </row>
    <row r="405" spans="22:22" x14ac:dyDescent="0.25">
      <c r="V405" s="1" t="str">
        <f>+IFERROR(IF(Tabla3[[#This Row],[Cilindros totales pendientes]]&gt;0,1,""),"")</f>
        <v/>
      </c>
    </row>
    <row r="406" spans="22:22" x14ac:dyDescent="0.25">
      <c r="V406" s="1" t="str">
        <f>+IFERROR(IF(Tabla3[[#This Row],[Cilindros totales pendientes]]&gt;0,1,""),"")</f>
        <v/>
      </c>
    </row>
    <row r="407" spans="22:22" x14ac:dyDescent="0.25">
      <c r="V407" s="1" t="str">
        <f>+IFERROR(IF(Tabla3[[#This Row],[Cilindros totales pendientes]]&gt;0,1,""),"")</f>
        <v/>
      </c>
    </row>
    <row r="408" spans="22:22" x14ac:dyDescent="0.25">
      <c r="V408" s="1" t="str">
        <f>+IFERROR(IF(Tabla3[[#This Row],[Cilindros totales pendientes]]&gt;0,1,""),"")</f>
        <v/>
      </c>
    </row>
    <row r="409" spans="22:22" x14ac:dyDescent="0.25">
      <c r="V409" s="1" t="str">
        <f>+IFERROR(IF(Tabla3[[#This Row],[Cilindros totales pendientes]]&gt;0,1,""),"")</f>
        <v/>
      </c>
    </row>
    <row r="410" spans="22:22" x14ac:dyDescent="0.25">
      <c r="V410" s="1" t="str">
        <f>+IFERROR(IF(Tabla3[[#This Row],[Cilindros totales pendientes]]&gt;0,1,""),"")</f>
        <v/>
      </c>
    </row>
    <row r="411" spans="22:22" x14ac:dyDescent="0.25">
      <c r="V411" s="1" t="str">
        <f>+IFERROR(IF(Tabla3[[#This Row],[Cilindros totales pendientes]]&gt;0,1,""),"")</f>
        <v/>
      </c>
    </row>
    <row r="412" spans="22:22" x14ac:dyDescent="0.25">
      <c r="V412" s="1" t="str">
        <f>+IFERROR(IF(Tabla3[[#This Row],[Cilindros totales pendientes]]&gt;0,1,""),"")</f>
        <v/>
      </c>
    </row>
    <row r="413" spans="22:22" x14ac:dyDescent="0.25">
      <c r="V413" s="1" t="str">
        <f>+IFERROR(IF(Tabla3[[#This Row],[Cilindros totales pendientes]]&gt;0,1,""),"")</f>
        <v/>
      </c>
    </row>
    <row r="414" spans="22:22" x14ac:dyDescent="0.25">
      <c r="V414" s="1" t="str">
        <f>+IFERROR(IF(Tabla3[[#This Row],[Cilindros totales pendientes]]&gt;0,1,""),"")</f>
        <v/>
      </c>
    </row>
    <row r="415" spans="22:22" x14ac:dyDescent="0.25">
      <c r="V415" s="1" t="str">
        <f>+IFERROR(IF(Tabla3[[#This Row],[Cilindros totales pendientes]]&gt;0,1,""),"")</f>
        <v/>
      </c>
    </row>
    <row r="416" spans="22:22" x14ac:dyDescent="0.25">
      <c r="V416" s="1" t="str">
        <f>+IFERROR(IF(Tabla3[[#This Row],[Cilindros totales pendientes]]&gt;0,1,""),"")</f>
        <v/>
      </c>
    </row>
    <row r="417" spans="22:22" x14ac:dyDescent="0.25">
      <c r="V417" s="1" t="str">
        <f>+IFERROR(IF(Tabla3[[#This Row],[Cilindros totales pendientes]]&gt;0,1,""),"")</f>
        <v/>
      </c>
    </row>
    <row r="418" spans="22:22" x14ac:dyDescent="0.25">
      <c r="V418" s="1" t="str">
        <f>+IFERROR(IF(Tabla3[[#This Row],[Cilindros totales pendientes]]&gt;0,1,""),"")</f>
        <v/>
      </c>
    </row>
    <row r="419" spans="22:22" x14ac:dyDescent="0.25">
      <c r="V419" s="1" t="str">
        <f>+IFERROR(IF(Tabla3[[#This Row],[Cilindros totales pendientes]]&gt;0,1,""),"")</f>
        <v/>
      </c>
    </row>
    <row r="420" spans="22:22" x14ac:dyDescent="0.25">
      <c r="V420" s="1" t="str">
        <f>+IFERROR(IF(Tabla3[[#This Row],[Cilindros totales pendientes]]&gt;0,1,""),"")</f>
        <v/>
      </c>
    </row>
    <row r="421" spans="22:22" x14ac:dyDescent="0.25">
      <c r="V421" s="1" t="str">
        <f>+IFERROR(IF(Tabla3[[#This Row],[Cilindros totales pendientes]]&gt;0,1,""),"")</f>
        <v/>
      </c>
    </row>
    <row r="422" spans="22:22" x14ac:dyDescent="0.25">
      <c r="V422" s="1" t="str">
        <f>+IFERROR(IF(Tabla3[[#This Row],[Cilindros totales pendientes]]&gt;0,1,""),"")</f>
        <v/>
      </c>
    </row>
    <row r="423" spans="22:22" x14ac:dyDescent="0.25">
      <c r="V423" s="1" t="str">
        <f>+IFERROR(IF(Tabla3[[#This Row],[Cilindros totales pendientes]]&gt;0,1,""),"")</f>
        <v/>
      </c>
    </row>
    <row r="424" spans="22:22" x14ac:dyDescent="0.25">
      <c r="V424" s="1" t="str">
        <f>+IFERROR(IF(Tabla3[[#This Row],[Cilindros totales pendientes]]&gt;0,1,""),"")</f>
        <v/>
      </c>
    </row>
    <row r="425" spans="22:22" x14ac:dyDescent="0.25">
      <c r="V425" s="1" t="str">
        <f>+IFERROR(IF(Tabla3[[#This Row],[Cilindros totales pendientes]]&gt;0,1,""),"")</f>
        <v/>
      </c>
    </row>
    <row r="426" spans="22:22" x14ac:dyDescent="0.25">
      <c r="V426" s="1" t="str">
        <f>+IFERROR(IF(Tabla3[[#This Row],[Cilindros totales pendientes]]&gt;0,1,""),"")</f>
        <v/>
      </c>
    </row>
    <row r="427" spans="22:22" x14ac:dyDescent="0.25">
      <c r="V427" s="1" t="str">
        <f>+IFERROR(IF(Tabla3[[#This Row],[Cilindros totales pendientes]]&gt;0,1,""),"")</f>
        <v/>
      </c>
    </row>
    <row r="428" spans="22:22" x14ac:dyDescent="0.25">
      <c r="V428" s="1" t="str">
        <f>+IFERROR(IF(Tabla3[[#This Row],[Cilindros totales pendientes]]&gt;0,1,""),"")</f>
        <v/>
      </c>
    </row>
    <row r="429" spans="22:22" x14ac:dyDescent="0.25">
      <c r="V429" s="1" t="str">
        <f>+IFERROR(IF(Tabla3[[#This Row],[Cilindros totales pendientes]]&gt;0,1,""),"")</f>
        <v/>
      </c>
    </row>
    <row r="430" spans="22:22" x14ac:dyDescent="0.25">
      <c r="V430" s="1" t="str">
        <f>+IFERROR(IF(Tabla3[[#This Row],[Cilindros totales pendientes]]&gt;0,1,""),"")</f>
        <v/>
      </c>
    </row>
    <row r="431" spans="22:22" x14ac:dyDescent="0.25">
      <c r="V431" s="1" t="str">
        <f>+IFERROR(IF(Tabla3[[#This Row],[Cilindros totales pendientes]]&gt;0,1,""),"")</f>
        <v/>
      </c>
    </row>
    <row r="432" spans="22:22" x14ac:dyDescent="0.25">
      <c r="V432" s="1" t="str">
        <f>+IFERROR(IF(Tabla3[[#This Row],[Cilindros totales pendientes]]&gt;0,1,""),"")</f>
        <v/>
      </c>
    </row>
    <row r="433" spans="22:22" x14ac:dyDescent="0.25">
      <c r="V433" s="1" t="str">
        <f>+IFERROR(IF(Tabla3[[#This Row],[Cilindros totales pendientes]]&gt;0,1,""),"")</f>
        <v/>
      </c>
    </row>
    <row r="434" spans="22:22" x14ac:dyDescent="0.25">
      <c r="V434" s="1" t="str">
        <f>+IFERROR(IF(Tabla3[[#This Row],[Cilindros totales pendientes]]&gt;0,1,""),"")</f>
        <v/>
      </c>
    </row>
    <row r="435" spans="22:22" x14ac:dyDescent="0.25">
      <c r="V435" s="1" t="str">
        <f>+IFERROR(IF(Tabla3[[#This Row],[Cilindros totales pendientes]]&gt;0,1,""),"")</f>
        <v/>
      </c>
    </row>
    <row r="436" spans="22:22" x14ac:dyDescent="0.25">
      <c r="V436" s="1" t="str">
        <f>+IFERROR(IF(Tabla3[[#This Row],[Cilindros totales pendientes]]&gt;0,1,""),"")</f>
        <v/>
      </c>
    </row>
    <row r="437" spans="22:22" x14ac:dyDescent="0.25">
      <c r="V437" s="1" t="str">
        <f>+IFERROR(IF(Tabla3[[#This Row],[Cilindros totales pendientes]]&gt;0,1,""),"")</f>
        <v/>
      </c>
    </row>
    <row r="438" spans="22:22" x14ac:dyDescent="0.25">
      <c r="V438" s="1" t="str">
        <f>+IFERROR(IF(Tabla3[[#This Row],[Cilindros totales pendientes]]&gt;0,1,""),"")</f>
        <v/>
      </c>
    </row>
    <row r="439" spans="22:22" x14ac:dyDescent="0.25">
      <c r="V439" s="1" t="str">
        <f>+IFERROR(IF(Tabla3[[#This Row],[Cilindros totales pendientes]]&gt;0,1,""),"")</f>
        <v/>
      </c>
    </row>
    <row r="440" spans="22:22" x14ac:dyDescent="0.25">
      <c r="V440" s="1" t="str">
        <f>+IFERROR(IF(Tabla3[[#This Row],[Cilindros totales pendientes]]&gt;0,1,""),"")</f>
        <v/>
      </c>
    </row>
    <row r="441" spans="22:22" x14ac:dyDescent="0.25">
      <c r="V441" s="1" t="str">
        <f>+IFERROR(IF(Tabla3[[#This Row],[Cilindros totales pendientes]]&gt;0,1,""),"")</f>
        <v/>
      </c>
    </row>
    <row r="442" spans="22:22" x14ac:dyDescent="0.25">
      <c r="V442" s="1" t="str">
        <f>+IFERROR(IF(Tabla3[[#This Row],[Cilindros totales pendientes]]&gt;0,1,""),"")</f>
        <v/>
      </c>
    </row>
    <row r="443" spans="22:22" x14ac:dyDescent="0.25">
      <c r="V443" s="1" t="str">
        <f>+IFERROR(IF(Tabla3[[#This Row],[Cilindros totales pendientes]]&gt;0,1,""),"")</f>
        <v/>
      </c>
    </row>
    <row r="444" spans="22:22" x14ac:dyDescent="0.25">
      <c r="V444" s="1" t="str">
        <f>+IFERROR(IF(Tabla3[[#This Row],[Cilindros totales pendientes]]&gt;0,1,""),"")</f>
        <v/>
      </c>
    </row>
    <row r="445" spans="22:22" x14ac:dyDescent="0.25">
      <c r="V445" s="1" t="str">
        <f>+IFERROR(IF(Tabla3[[#This Row],[Cilindros totales pendientes]]&gt;0,1,""),"")</f>
        <v/>
      </c>
    </row>
    <row r="446" spans="22:22" x14ac:dyDescent="0.25">
      <c r="V446" s="1" t="str">
        <f>+IFERROR(IF(Tabla3[[#This Row],[Cilindros totales pendientes]]&gt;0,1,""),"")</f>
        <v/>
      </c>
    </row>
    <row r="447" spans="22:22" x14ac:dyDescent="0.25">
      <c r="V447" s="1" t="str">
        <f>+IFERROR(IF(Tabla3[[#This Row],[Cilindros totales pendientes]]&gt;0,1,""),"")</f>
        <v/>
      </c>
    </row>
    <row r="448" spans="22:22" x14ac:dyDescent="0.25">
      <c r="V448" s="1" t="str">
        <f>+IFERROR(IF(Tabla3[[#This Row],[Cilindros totales pendientes]]&gt;0,1,""),"")</f>
        <v/>
      </c>
    </row>
    <row r="449" spans="22:22" x14ac:dyDescent="0.25">
      <c r="V449" s="1" t="str">
        <f>+IFERROR(IF(Tabla3[[#This Row],[Cilindros totales pendientes]]&gt;0,1,""),"")</f>
        <v/>
      </c>
    </row>
    <row r="450" spans="22:22" x14ac:dyDescent="0.25">
      <c r="V450" s="1" t="str">
        <f>+IFERROR(IF(Tabla3[[#This Row],[Cilindros totales pendientes]]&gt;0,1,""),"")</f>
        <v/>
      </c>
    </row>
    <row r="451" spans="22:22" x14ac:dyDescent="0.25">
      <c r="V451" s="1" t="str">
        <f>+IFERROR(IF(Tabla3[[#This Row],[Cilindros totales pendientes]]&gt;0,1,""),"")</f>
        <v/>
      </c>
    </row>
    <row r="452" spans="22:22" x14ac:dyDescent="0.25">
      <c r="V452" s="1" t="str">
        <f>+IFERROR(IF(Tabla3[[#This Row],[Cilindros totales pendientes]]&gt;0,1,""),"")</f>
        <v/>
      </c>
    </row>
    <row r="453" spans="22:22" x14ac:dyDescent="0.25">
      <c r="V453" s="1" t="str">
        <f>+IFERROR(IF(Tabla3[[#This Row],[Cilindros totales pendientes]]&gt;0,1,""),"")</f>
        <v/>
      </c>
    </row>
    <row r="454" spans="22:22" x14ac:dyDescent="0.25">
      <c r="V454" s="1" t="str">
        <f>+IFERROR(IF(Tabla3[[#This Row],[Cilindros totales pendientes]]&gt;0,1,""),"")</f>
        <v/>
      </c>
    </row>
    <row r="455" spans="22:22" x14ac:dyDescent="0.25">
      <c r="V455" s="1" t="str">
        <f>+IFERROR(IF(Tabla3[[#This Row],[Cilindros totales pendientes]]&gt;0,1,""),"")</f>
        <v/>
      </c>
    </row>
    <row r="456" spans="22:22" x14ac:dyDescent="0.25">
      <c r="V456" s="1" t="str">
        <f>+IFERROR(IF(Tabla3[[#This Row],[Cilindros totales pendientes]]&gt;0,1,""),"")</f>
        <v/>
      </c>
    </row>
    <row r="457" spans="22:22" x14ac:dyDescent="0.25">
      <c r="V457" s="1" t="str">
        <f>+IFERROR(IF(Tabla3[[#This Row],[Cilindros totales pendientes]]&gt;0,1,""),"")</f>
        <v/>
      </c>
    </row>
    <row r="458" spans="22:22" x14ac:dyDescent="0.25">
      <c r="V458" s="1" t="str">
        <f>+IFERROR(IF(Tabla3[[#This Row],[Cilindros totales pendientes]]&gt;0,1,""),"")</f>
        <v/>
      </c>
    </row>
    <row r="459" spans="22:22" x14ac:dyDescent="0.25">
      <c r="V459" s="1" t="str">
        <f>+IFERROR(IF(Tabla3[[#This Row],[Cilindros totales pendientes]]&gt;0,1,""),"")</f>
        <v/>
      </c>
    </row>
    <row r="460" spans="22:22" x14ac:dyDescent="0.25">
      <c r="V460" s="1" t="str">
        <f>+IFERROR(IF(Tabla3[[#This Row],[Cilindros totales pendientes]]&gt;0,1,""),"")</f>
        <v/>
      </c>
    </row>
    <row r="461" spans="22:22" x14ac:dyDescent="0.25">
      <c r="V461" s="1" t="str">
        <f>+IFERROR(IF(Tabla3[[#This Row],[Cilindros totales pendientes]]&gt;0,1,""),"")</f>
        <v/>
      </c>
    </row>
    <row r="462" spans="22:22" x14ac:dyDescent="0.25">
      <c r="V462" s="1" t="str">
        <f>+IFERROR(IF(Tabla3[[#This Row],[Cilindros totales pendientes]]&gt;0,1,""),"")</f>
        <v/>
      </c>
    </row>
    <row r="463" spans="22:22" x14ac:dyDescent="0.25">
      <c r="V463" s="1" t="str">
        <f>+IFERROR(IF(Tabla3[[#This Row],[Cilindros totales pendientes]]&gt;0,1,""),"")</f>
        <v/>
      </c>
    </row>
    <row r="464" spans="22:22" x14ac:dyDescent="0.25">
      <c r="V464" s="1" t="str">
        <f>+IFERROR(IF(Tabla3[[#This Row],[Cilindros totales pendientes]]&gt;0,1,""),"")</f>
        <v/>
      </c>
    </row>
    <row r="465" spans="22:22" x14ac:dyDescent="0.25">
      <c r="V465" s="1" t="str">
        <f>+IFERROR(IF(Tabla3[[#This Row],[Cilindros totales pendientes]]&gt;0,1,""),"")</f>
        <v/>
      </c>
    </row>
    <row r="466" spans="22:22" x14ac:dyDescent="0.25">
      <c r="V466" s="1" t="str">
        <f>+IFERROR(IF(Tabla3[[#This Row],[Cilindros totales pendientes]]&gt;0,1,""),"")</f>
        <v/>
      </c>
    </row>
    <row r="467" spans="22:22" x14ac:dyDescent="0.25">
      <c r="V467" s="1" t="str">
        <f>+IFERROR(IF(Tabla3[[#This Row],[Cilindros totales pendientes]]&gt;0,1,""),"")</f>
        <v/>
      </c>
    </row>
    <row r="468" spans="22:22" x14ac:dyDescent="0.25">
      <c r="V468" s="1" t="str">
        <f>+IFERROR(IF(Tabla3[[#This Row],[Cilindros totales pendientes]]&gt;0,1,""),"")</f>
        <v/>
      </c>
    </row>
    <row r="469" spans="22:22" x14ac:dyDescent="0.25">
      <c r="V469" s="1" t="str">
        <f>+IFERROR(IF(Tabla3[[#This Row],[Cilindros totales pendientes]]&gt;0,1,""),"")</f>
        <v/>
      </c>
    </row>
    <row r="470" spans="22:22" x14ac:dyDescent="0.25">
      <c r="V470" s="1" t="str">
        <f>+IFERROR(IF(Tabla3[[#This Row],[Cilindros totales pendientes]]&gt;0,1,""),"")</f>
        <v/>
      </c>
    </row>
    <row r="471" spans="22:22" x14ac:dyDescent="0.25">
      <c r="V471" s="1" t="str">
        <f>+IFERROR(IF(Tabla3[[#This Row],[Cilindros totales pendientes]]&gt;0,1,""),"")</f>
        <v/>
      </c>
    </row>
    <row r="472" spans="22:22" x14ac:dyDescent="0.25">
      <c r="V472" s="1" t="str">
        <f>+IFERROR(IF(Tabla3[[#This Row],[Cilindros totales pendientes]]&gt;0,1,""),"")</f>
        <v/>
      </c>
    </row>
    <row r="473" spans="22:22" x14ac:dyDescent="0.25">
      <c r="V473" s="1" t="str">
        <f>+IFERROR(IF(Tabla3[[#This Row],[Cilindros totales pendientes]]&gt;0,1,""),"")</f>
        <v/>
      </c>
    </row>
    <row r="474" spans="22:22" x14ac:dyDescent="0.25">
      <c r="V474" s="1" t="str">
        <f>+IFERROR(IF(Tabla3[[#This Row],[Cilindros totales pendientes]]&gt;0,1,""),"")</f>
        <v/>
      </c>
    </row>
    <row r="475" spans="22:22" x14ac:dyDescent="0.25">
      <c r="V475" s="1" t="str">
        <f>+IFERROR(IF(Tabla3[[#This Row],[Cilindros totales pendientes]]&gt;0,1,""),"")</f>
        <v/>
      </c>
    </row>
    <row r="476" spans="22:22" x14ac:dyDescent="0.25">
      <c r="V476" s="1" t="str">
        <f>+IFERROR(IF(Tabla3[[#This Row],[Cilindros totales pendientes]]&gt;0,1,""),"")</f>
        <v/>
      </c>
    </row>
    <row r="477" spans="22:22" x14ac:dyDescent="0.25">
      <c r="V477" s="1" t="str">
        <f>+IFERROR(IF(Tabla3[[#This Row],[Cilindros totales pendientes]]&gt;0,1,""),"")</f>
        <v/>
      </c>
    </row>
    <row r="478" spans="22:22" x14ac:dyDescent="0.25">
      <c r="V478" s="1" t="str">
        <f>+IFERROR(IF(Tabla3[[#This Row],[Cilindros totales pendientes]]&gt;0,1,""),"")</f>
        <v/>
      </c>
    </row>
    <row r="479" spans="22:22" x14ac:dyDescent="0.25">
      <c r="V479" s="1" t="str">
        <f>+IFERROR(IF(Tabla3[[#This Row],[Cilindros totales pendientes]]&gt;0,1,""),"")</f>
        <v/>
      </c>
    </row>
    <row r="480" spans="22:22" x14ac:dyDescent="0.25">
      <c r="V480" s="1" t="str">
        <f>+IFERROR(IF(Tabla3[[#This Row],[Cilindros totales pendientes]]&gt;0,1,""),"")</f>
        <v/>
      </c>
    </row>
    <row r="481" spans="22:22" x14ac:dyDescent="0.25">
      <c r="V481" s="1" t="str">
        <f>+IFERROR(IF(Tabla3[[#This Row],[Cilindros totales pendientes]]&gt;0,1,""),"")</f>
        <v/>
      </c>
    </row>
    <row r="482" spans="22:22" x14ac:dyDescent="0.25">
      <c r="V482" s="1" t="str">
        <f>+IFERROR(IF(Tabla3[[#This Row],[Cilindros totales pendientes]]&gt;0,1,""),"")</f>
        <v/>
      </c>
    </row>
    <row r="483" spans="22:22" x14ac:dyDescent="0.25">
      <c r="V483" s="1" t="str">
        <f>+IFERROR(IF(Tabla3[[#This Row],[Cilindros totales pendientes]]&gt;0,1,""),"")</f>
        <v/>
      </c>
    </row>
    <row r="484" spans="22:22" x14ac:dyDescent="0.25">
      <c r="V484" s="1" t="str">
        <f>+IFERROR(IF(Tabla3[[#This Row],[Cilindros totales pendientes]]&gt;0,1,""),"")</f>
        <v/>
      </c>
    </row>
    <row r="485" spans="22:22" x14ac:dyDescent="0.25">
      <c r="V485" s="1" t="str">
        <f>+IFERROR(IF(Tabla3[[#This Row],[Cilindros totales pendientes]]&gt;0,1,""),"")</f>
        <v/>
      </c>
    </row>
    <row r="486" spans="22:22" x14ac:dyDescent="0.25">
      <c r="V486" s="1" t="str">
        <f>+IFERROR(IF(Tabla3[[#This Row],[Cilindros totales pendientes]]&gt;0,1,""),"")</f>
        <v/>
      </c>
    </row>
    <row r="487" spans="22:22" x14ac:dyDescent="0.25">
      <c r="V487" s="1" t="str">
        <f>+IFERROR(IF(Tabla3[[#This Row],[Cilindros totales pendientes]]&gt;0,1,""),"")</f>
        <v/>
      </c>
    </row>
    <row r="488" spans="22:22" x14ac:dyDescent="0.25">
      <c r="V488" s="1" t="str">
        <f>+IFERROR(IF(Tabla3[[#This Row],[Cilindros totales pendientes]]&gt;0,1,""),"")</f>
        <v/>
      </c>
    </row>
    <row r="489" spans="22:22" x14ac:dyDescent="0.25">
      <c r="V489" s="1" t="str">
        <f>+IFERROR(IF(Tabla3[[#This Row],[Cilindros totales pendientes]]&gt;0,1,""),"")</f>
        <v/>
      </c>
    </row>
    <row r="490" spans="22:22" x14ac:dyDescent="0.25">
      <c r="V490" s="1" t="str">
        <f>+IFERROR(IF(Tabla3[[#This Row],[Cilindros totales pendientes]]&gt;0,1,""),"")</f>
        <v/>
      </c>
    </row>
    <row r="491" spans="22:22" x14ac:dyDescent="0.25">
      <c r="V491" s="1" t="str">
        <f>+IFERROR(IF(Tabla3[[#This Row],[Cilindros totales pendientes]]&gt;0,1,""),"")</f>
        <v/>
      </c>
    </row>
    <row r="492" spans="22:22" x14ac:dyDescent="0.25">
      <c r="V492" s="1" t="str">
        <f>+IFERROR(IF(Tabla3[[#This Row],[Cilindros totales pendientes]]&gt;0,1,""),"")</f>
        <v/>
      </c>
    </row>
    <row r="493" spans="22:22" x14ac:dyDescent="0.25">
      <c r="V493" s="1" t="str">
        <f>+IFERROR(IF(Tabla3[[#This Row],[Cilindros totales pendientes]]&gt;0,1,""),"")</f>
        <v/>
      </c>
    </row>
    <row r="494" spans="22:22" x14ac:dyDescent="0.25">
      <c r="V494" s="1" t="str">
        <f>+IFERROR(IF(Tabla3[[#This Row],[Cilindros totales pendientes]]&gt;0,1,""),"")</f>
        <v/>
      </c>
    </row>
    <row r="495" spans="22:22" x14ac:dyDescent="0.25">
      <c r="V495" s="1" t="str">
        <f>+IFERROR(IF(Tabla3[[#This Row],[Cilindros totales pendientes]]&gt;0,1,""),"")</f>
        <v/>
      </c>
    </row>
    <row r="496" spans="22:22" x14ac:dyDescent="0.25">
      <c r="V496" s="1" t="str">
        <f>+IFERROR(IF(Tabla3[[#This Row],[Cilindros totales pendientes]]&gt;0,1,""),"")</f>
        <v/>
      </c>
    </row>
    <row r="497" spans="22:22" x14ac:dyDescent="0.25">
      <c r="V497" s="1" t="str">
        <f>+IFERROR(IF(Tabla3[[#This Row],[Cilindros totales pendientes]]&gt;0,1,""),"")</f>
        <v/>
      </c>
    </row>
    <row r="498" spans="22:22" x14ac:dyDescent="0.25">
      <c r="V498" s="1" t="str">
        <f>+IFERROR(IF(Tabla3[[#This Row],[Cilindros totales pendientes]]&gt;0,1,""),"")</f>
        <v/>
      </c>
    </row>
    <row r="499" spans="22:22" x14ac:dyDescent="0.25">
      <c r="V499" s="1" t="str">
        <f>+IFERROR(IF(Tabla3[[#This Row],[Cilindros totales pendientes]]&gt;0,1,""),"")</f>
        <v/>
      </c>
    </row>
    <row r="500" spans="22:22" x14ac:dyDescent="0.25">
      <c r="V500" s="1" t="str">
        <f>+IFERROR(IF(Tabla3[[#This Row],[Cilindros totales pendientes]]&gt;0,1,""),"")</f>
        <v/>
      </c>
    </row>
    <row r="501" spans="22:22" x14ac:dyDescent="0.25">
      <c r="V501" s="1" t="str">
        <f>+IFERROR(IF(Tabla3[[#This Row],[Cilindros totales pendientes]]&gt;0,1,""),"")</f>
        <v/>
      </c>
    </row>
    <row r="502" spans="22:22" x14ac:dyDescent="0.25">
      <c r="V502" s="1" t="str">
        <f>+IFERROR(IF(Tabla3[[#This Row],[Cilindros totales pendientes]]&gt;0,1,""),"")</f>
        <v/>
      </c>
    </row>
    <row r="503" spans="22:22" x14ac:dyDescent="0.25">
      <c r="V503" s="1" t="str">
        <f>+IFERROR(IF(Tabla3[[#This Row],[Cilindros totales pendientes]]&gt;0,1,""),"")</f>
        <v/>
      </c>
    </row>
    <row r="504" spans="22:22" x14ac:dyDescent="0.25">
      <c r="V504" s="1" t="str">
        <f>+IFERROR(IF(Tabla3[[#This Row],[Cilindros totales pendientes]]&gt;0,1,""),"")</f>
        <v/>
      </c>
    </row>
    <row r="505" spans="22:22" x14ac:dyDescent="0.25">
      <c r="V505" s="1" t="str">
        <f>+IFERROR(IF(Tabla3[[#This Row],[Cilindros totales pendientes]]&gt;0,1,""),"")</f>
        <v/>
      </c>
    </row>
    <row r="506" spans="22:22" x14ac:dyDescent="0.25">
      <c r="V506" s="1" t="str">
        <f>+IFERROR(IF(Tabla3[[#This Row],[Cilindros totales pendientes]]&gt;0,1,""),"")</f>
        <v/>
      </c>
    </row>
    <row r="507" spans="22:22" x14ac:dyDescent="0.25">
      <c r="V507" s="1" t="str">
        <f>+IFERROR(IF(Tabla3[[#This Row],[Cilindros totales pendientes]]&gt;0,1,""),"")</f>
        <v/>
      </c>
    </row>
    <row r="508" spans="22:22" x14ac:dyDescent="0.25">
      <c r="V508" s="1" t="str">
        <f>+IFERROR(IF(Tabla3[[#This Row],[Cilindros totales pendientes]]&gt;0,1,""),"")</f>
        <v/>
      </c>
    </row>
    <row r="509" spans="22:22" x14ac:dyDescent="0.25">
      <c r="V509" s="1" t="str">
        <f>+IFERROR(IF(Tabla3[[#This Row],[Cilindros totales pendientes]]&gt;0,1,""),"")</f>
        <v/>
      </c>
    </row>
    <row r="510" spans="22:22" x14ac:dyDescent="0.25">
      <c r="V510" s="1" t="str">
        <f>+IFERROR(IF(Tabla3[[#This Row],[Cilindros totales pendientes]]&gt;0,1,""),"")</f>
        <v/>
      </c>
    </row>
    <row r="511" spans="22:22" x14ac:dyDescent="0.25">
      <c r="V511" s="1" t="str">
        <f>+IFERROR(IF(Tabla3[[#This Row],[Cilindros totales pendientes]]&gt;0,1,""),"")</f>
        <v/>
      </c>
    </row>
    <row r="512" spans="22:22" x14ac:dyDescent="0.25">
      <c r="V512" s="1" t="str">
        <f>+IFERROR(IF(Tabla3[[#This Row],[Cilindros totales pendientes]]&gt;0,1,""),"")</f>
        <v/>
      </c>
    </row>
    <row r="513" spans="22:22" x14ac:dyDescent="0.25">
      <c r="V513" s="1" t="str">
        <f>+IFERROR(IF(Tabla3[[#This Row],[Cilindros totales pendientes]]&gt;0,1,""),"")</f>
        <v/>
      </c>
    </row>
    <row r="514" spans="22:22" x14ac:dyDescent="0.25">
      <c r="V514" s="1" t="str">
        <f>+IFERROR(IF(Tabla3[[#This Row],[Cilindros totales pendientes]]&gt;0,1,""),"")</f>
        <v/>
      </c>
    </row>
    <row r="515" spans="22:22" x14ac:dyDescent="0.25">
      <c r="V515" s="1" t="str">
        <f>+IFERROR(IF(Tabla3[[#This Row],[Cilindros totales pendientes]]&gt;0,1,""),"")</f>
        <v/>
      </c>
    </row>
    <row r="516" spans="22:22" x14ac:dyDescent="0.25">
      <c r="V516" s="1" t="str">
        <f>+IFERROR(IF(Tabla3[[#This Row],[Cilindros totales pendientes]]&gt;0,1,""),"")</f>
        <v/>
      </c>
    </row>
    <row r="517" spans="22:22" x14ac:dyDescent="0.25">
      <c r="V517" s="1" t="str">
        <f>+IFERROR(IF(Tabla3[[#This Row],[Cilindros totales pendientes]]&gt;0,1,""),"")</f>
        <v/>
      </c>
    </row>
    <row r="518" spans="22:22" x14ac:dyDescent="0.25">
      <c r="V518" s="1" t="str">
        <f>+IFERROR(IF(Tabla3[[#This Row],[Cilindros totales pendientes]]&gt;0,1,""),"")</f>
        <v/>
      </c>
    </row>
    <row r="519" spans="22:22" x14ac:dyDescent="0.25">
      <c r="V519" s="1" t="str">
        <f>+IFERROR(IF(Tabla3[[#This Row],[Cilindros totales pendientes]]&gt;0,1,""),"")</f>
        <v/>
      </c>
    </row>
    <row r="520" spans="22:22" x14ac:dyDescent="0.25">
      <c r="V520" s="1" t="str">
        <f>+IFERROR(IF(Tabla3[[#This Row],[Cilindros totales pendientes]]&gt;0,1,""),"")</f>
        <v/>
      </c>
    </row>
    <row r="521" spans="22:22" x14ac:dyDescent="0.25">
      <c r="V521" s="1" t="str">
        <f>+IFERROR(IF(Tabla3[[#This Row],[Cilindros totales pendientes]]&gt;0,1,""),"")</f>
        <v/>
      </c>
    </row>
    <row r="522" spans="22:22" x14ac:dyDescent="0.25">
      <c r="V522" s="1" t="str">
        <f>+IFERROR(IF(Tabla3[[#This Row],[Cilindros totales pendientes]]&gt;0,1,""),"")</f>
        <v/>
      </c>
    </row>
    <row r="523" spans="22:22" x14ac:dyDescent="0.25">
      <c r="V523" s="1" t="str">
        <f>+IFERROR(IF(Tabla3[[#This Row],[Cilindros totales pendientes]]&gt;0,1,""),"")</f>
        <v/>
      </c>
    </row>
    <row r="524" spans="22:22" x14ac:dyDescent="0.25">
      <c r="V524" s="1" t="str">
        <f>+IFERROR(IF(Tabla3[[#This Row],[Cilindros totales pendientes]]&gt;0,1,""),"")</f>
        <v/>
      </c>
    </row>
    <row r="525" spans="22:22" x14ac:dyDescent="0.25">
      <c r="V525" s="1" t="str">
        <f>+IFERROR(IF(Tabla3[[#This Row],[Cilindros totales pendientes]]&gt;0,1,""),"")</f>
        <v/>
      </c>
    </row>
    <row r="526" spans="22:22" x14ac:dyDescent="0.25">
      <c r="V526" s="1" t="str">
        <f>+IFERROR(IF(Tabla3[[#This Row],[Cilindros totales pendientes]]&gt;0,1,""),"")</f>
        <v/>
      </c>
    </row>
    <row r="527" spans="22:22" x14ac:dyDescent="0.25">
      <c r="V527" s="1" t="str">
        <f>+IFERROR(IF(Tabla3[[#This Row],[Cilindros totales pendientes]]&gt;0,1,""),"")</f>
        <v/>
      </c>
    </row>
    <row r="528" spans="22:22" x14ac:dyDescent="0.25">
      <c r="V528" s="1" t="str">
        <f>+IFERROR(IF(Tabla3[[#This Row],[Cilindros totales pendientes]]&gt;0,1,""),"")</f>
        <v/>
      </c>
    </row>
    <row r="529" spans="22:22" x14ac:dyDescent="0.25">
      <c r="V529" s="1" t="str">
        <f>+IFERROR(IF(Tabla3[[#This Row],[Cilindros totales pendientes]]&gt;0,1,""),"")</f>
        <v/>
      </c>
    </row>
    <row r="530" spans="22:22" x14ac:dyDescent="0.25">
      <c r="V530" s="1" t="str">
        <f>+IFERROR(IF(Tabla3[[#This Row],[Cilindros totales pendientes]]&gt;0,1,""),"")</f>
        <v/>
      </c>
    </row>
    <row r="531" spans="22:22" x14ac:dyDescent="0.25">
      <c r="V531" s="1" t="str">
        <f>+IFERROR(IF(Tabla3[[#This Row],[Cilindros totales pendientes]]&gt;0,1,""),"")</f>
        <v/>
      </c>
    </row>
    <row r="532" spans="22:22" x14ac:dyDescent="0.25">
      <c r="V532" s="1" t="str">
        <f>+IFERROR(IF(Tabla3[[#This Row],[Cilindros totales pendientes]]&gt;0,1,""),"")</f>
        <v/>
      </c>
    </row>
    <row r="533" spans="22:22" x14ac:dyDescent="0.25">
      <c r="V533" s="1" t="str">
        <f>+IFERROR(IF(Tabla3[[#This Row],[Cilindros totales pendientes]]&gt;0,1,""),"")</f>
        <v/>
      </c>
    </row>
    <row r="534" spans="22:22" x14ac:dyDescent="0.25">
      <c r="V534" s="1" t="str">
        <f>+IFERROR(IF(Tabla3[[#This Row],[Cilindros totales pendientes]]&gt;0,1,""),"")</f>
        <v/>
      </c>
    </row>
    <row r="535" spans="22:22" x14ac:dyDescent="0.25">
      <c r="V535" s="1" t="str">
        <f>+IFERROR(IF(Tabla3[[#This Row],[Cilindros totales pendientes]]&gt;0,1,""),"")</f>
        <v/>
      </c>
    </row>
    <row r="536" spans="22:22" x14ac:dyDescent="0.25">
      <c r="V536" s="1" t="str">
        <f>+IFERROR(IF(Tabla3[[#This Row],[Cilindros totales pendientes]]&gt;0,1,""),"")</f>
        <v/>
      </c>
    </row>
    <row r="537" spans="22:22" x14ac:dyDescent="0.25">
      <c r="V537" s="1" t="str">
        <f>+IFERROR(IF(Tabla3[[#This Row],[Cilindros totales pendientes]]&gt;0,1,""),"")</f>
        <v/>
      </c>
    </row>
    <row r="538" spans="22:22" x14ac:dyDescent="0.25">
      <c r="V538" s="1" t="str">
        <f>+IFERROR(IF(Tabla3[[#This Row],[Cilindros totales pendientes]]&gt;0,1,""),"")</f>
        <v/>
      </c>
    </row>
    <row r="539" spans="22:22" x14ac:dyDescent="0.25">
      <c r="V539" s="1" t="str">
        <f>+IFERROR(IF(Tabla3[[#This Row],[Cilindros totales pendientes]]&gt;0,1,""),"")</f>
        <v/>
      </c>
    </row>
    <row r="540" spans="22:22" x14ac:dyDescent="0.25">
      <c r="V540" s="1" t="str">
        <f>+IFERROR(IF(Tabla3[[#This Row],[Cilindros totales pendientes]]&gt;0,1,""),"")</f>
        <v/>
      </c>
    </row>
    <row r="541" spans="22:22" x14ac:dyDescent="0.25">
      <c r="V541" s="1" t="str">
        <f>+IFERROR(IF(Tabla3[[#This Row],[Cilindros totales pendientes]]&gt;0,1,""),"")</f>
        <v/>
      </c>
    </row>
    <row r="542" spans="22:22" x14ac:dyDescent="0.25">
      <c r="V542" s="1" t="str">
        <f>+IFERROR(IF(Tabla3[[#This Row],[Cilindros totales pendientes]]&gt;0,1,""),"")</f>
        <v/>
      </c>
    </row>
    <row r="543" spans="22:22" x14ac:dyDescent="0.25">
      <c r="V543" s="1" t="str">
        <f>+IFERROR(IF(Tabla3[[#This Row],[Cilindros totales pendientes]]&gt;0,1,""),"")</f>
        <v/>
      </c>
    </row>
    <row r="544" spans="22:22" x14ac:dyDescent="0.25">
      <c r="V544" s="1" t="str">
        <f>+IFERROR(IF(Tabla3[[#This Row],[Cilindros totales pendientes]]&gt;0,1,""),"")</f>
        <v/>
      </c>
    </row>
    <row r="545" spans="22:22" x14ac:dyDescent="0.25">
      <c r="V545" s="1" t="str">
        <f>+IFERROR(IF(Tabla3[[#This Row],[Cilindros totales pendientes]]&gt;0,1,""),"")</f>
        <v/>
      </c>
    </row>
    <row r="546" spans="22:22" x14ac:dyDescent="0.25">
      <c r="V546" s="1" t="str">
        <f>+IFERROR(IF(Tabla3[[#This Row],[Cilindros totales pendientes]]&gt;0,1,""),"")</f>
        <v/>
      </c>
    </row>
    <row r="547" spans="22:22" x14ac:dyDescent="0.25">
      <c r="V547" s="1" t="str">
        <f>+IFERROR(IF(Tabla3[[#This Row],[Cilindros totales pendientes]]&gt;0,1,""),"")</f>
        <v/>
      </c>
    </row>
    <row r="548" spans="22:22" x14ac:dyDescent="0.25">
      <c r="V548" s="1" t="str">
        <f>+IFERROR(IF(Tabla3[[#This Row],[Cilindros totales pendientes]]&gt;0,1,""),"")</f>
        <v/>
      </c>
    </row>
    <row r="549" spans="22:22" x14ac:dyDescent="0.25">
      <c r="V549" s="1" t="str">
        <f>+IFERROR(IF(Tabla3[[#This Row],[Cilindros totales pendientes]]&gt;0,1,""),"")</f>
        <v/>
      </c>
    </row>
    <row r="550" spans="22:22" x14ac:dyDescent="0.25">
      <c r="V550" s="1" t="str">
        <f>+IFERROR(IF(Tabla3[[#This Row],[Cilindros totales pendientes]]&gt;0,1,""),"")</f>
        <v/>
      </c>
    </row>
    <row r="551" spans="22:22" x14ac:dyDescent="0.25">
      <c r="V551" s="1" t="str">
        <f>+IFERROR(IF(Tabla3[[#This Row],[Cilindros totales pendientes]]&gt;0,1,""),"")</f>
        <v/>
      </c>
    </row>
    <row r="552" spans="22:22" x14ac:dyDescent="0.25">
      <c r="V552" s="1" t="str">
        <f>+IFERROR(IF(Tabla3[[#This Row],[Cilindros totales pendientes]]&gt;0,1,""),"")</f>
        <v/>
      </c>
    </row>
    <row r="553" spans="22:22" x14ac:dyDescent="0.25">
      <c r="V553" s="1" t="str">
        <f>+IFERROR(IF(Tabla3[[#This Row],[Cilindros totales pendientes]]&gt;0,1,""),"")</f>
        <v/>
      </c>
    </row>
    <row r="554" spans="22:22" x14ac:dyDescent="0.25">
      <c r="V554" s="1" t="str">
        <f>+IFERROR(IF(Tabla3[[#This Row],[Cilindros totales pendientes]]&gt;0,1,""),"")</f>
        <v/>
      </c>
    </row>
    <row r="555" spans="22:22" x14ac:dyDescent="0.25">
      <c r="V555" s="1" t="str">
        <f>+IFERROR(IF(Tabla3[[#This Row],[Cilindros totales pendientes]]&gt;0,1,""),"")</f>
        <v/>
      </c>
    </row>
    <row r="556" spans="22:22" x14ac:dyDescent="0.25">
      <c r="V556" s="1" t="str">
        <f>+IFERROR(IF(Tabla3[[#This Row],[Cilindros totales pendientes]]&gt;0,1,""),"")</f>
        <v/>
      </c>
    </row>
    <row r="557" spans="22:22" x14ac:dyDescent="0.25">
      <c r="V557" s="1" t="str">
        <f>+IFERROR(IF(Tabla3[[#This Row],[Cilindros totales pendientes]]&gt;0,1,""),"")</f>
        <v/>
      </c>
    </row>
    <row r="558" spans="22:22" x14ac:dyDescent="0.25">
      <c r="V558" s="1" t="str">
        <f>+IFERROR(IF(Tabla3[[#This Row],[Cilindros totales pendientes]]&gt;0,1,""),"")</f>
        <v/>
      </c>
    </row>
    <row r="559" spans="22:22" x14ac:dyDescent="0.25">
      <c r="V559" s="1" t="str">
        <f>+IFERROR(IF(Tabla3[[#This Row],[Cilindros totales pendientes]]&gt;0,1,""),"")</f>
        <v/>
      </c>
    </row>
    <row r="560" spans="22:22" x14ac:dyDescent="0.25">
      <c r="V560" s="1" t="str">
        <f>+IFERROR(IF(Tabla3[[#This Row],[Cilindros totales pendientes]]&gt;0,1,""),"")</f>
        <v/>
      </c>
    </row>
    <row r="561" spans="22:22" x14ac:dyDescent="0.25">
      <c r="V561" s="1" t="str">
        <f>+IFERROR(IF(Tabla3[[#This Row],[Cilindros totales pendientes]]&gt;0,1,""),"")</f>
        <v/>
      </c>
    </row>
    <row r="562" spans="22:22" x14ac:dyDescent="0.25">
      <c r="V562" s="1" t="str">
        <f>+IFERROR(IF(Tabla3[[#This Row],[Cilindros totales pendientes]]&gt;0,1,""),"")</f>
        <v/>
      </c>
    </row>
    <row r="563" spans="22:22" x14ac:dyDescent="0.25">
      <c r="V563" s="1" t="str">
        <f>+IFERROR(IF(Tabla3[[#This Row],[Cilindros totales pendientes]]&gt;0,1,""),"")</f>
        <v/>
      </c>
    </row>
    <row r="564" spans="22:22" x14ac:dyDescent="0.25">
      <c r="V564" s="1" t="str">
        <f>+IFERROR(IF(Tabla3[[#This Row],[Cilindros totales pendientes]]&gt;0,1,""),"")</f>
        <v/>
      </c>
    </row>
    <row r="565" spans="22:22" x14ac:dyDescent="0.25">
      <c r="V565" s="1" t="str">
        <f>+IFERROR(IF(Tabla3[[#This Row],[Cilindros totales pendientes]]&gt;0,1,""),"")</f>
        <v/>
      </c>
    </row>
    <row r="566" spans="22:22" x14ac:dyDescent="0.25">
      <c r="V566" s="1" t="str">
        <f>+IFERROR(IF(Tabla3[[#This Row],[Cilindros totales pendientes]]&gt;0,1,""),"")</f>
        <v/>
      </c>
    </row>
    <row r="567" spans="22:22" x14ac:dyDescent="0.25">
      <c r="V567" s="1" t="str">
        <f>+IFERROR(IF(Tabla3[[#This Row],[Cilindros totales pendientes]]&gt;0,1,""),"")</f>
        <v/>
      </c>
    </row>
    <row r="568" spans="22:22" x14ac:dyDescent="0.25">
      <c r="V568" s="1" t="str">
        <f>+IFERROR(IF(Tabla3[[#This Row],[Cilindros totales pendientes]]&gt;0,1,""),"")</f>
        <v/>
      </c>
    </row>
    <row r="569" spans="22:22" x14ac:dyDescent="0.25">
      <c r="V569" s="1" t="str">
        <f>+IFERROR(IF(Tabla3[[#This Row],[Cilindros totales pendientes]]&gt;0,1,""),"")</f>
        <v/>
      </c>
    </row>
    <row r="570" spans="22:22" x14ac:dyDescent="0.25">
      <c r="V570" s="1" t="str">
        <f>+IFERROR(IF(Tabla3[[#This Row],[Cilindros totales pendientes]]&gt;0,1,""),"")</f>
        <v/>
      </c>
    </row>
    <row r="571" spans="22:22" x14ac:dyDescent="0.25">
      <c r="V571" s="1" t="str">
        <f>+IFERROR(IF(Tabla3[[#This Row],[Cilindros totales pendientes]]&gt;0,1,""),"")</f>
        <v/>
      </c>
    </row>
    <row r="572" spans="22:22" x14ac:dyDescent="0.25">
      <c r="V572" s="1" t="str">
        <f>+IFERROR(IF(Tabla3[[#This Row],[Cilindros totales pendientes]]&gt;0,1,""),"")</f>
        <v/>
      </c>
    </row>
    <row r="573" spans="22:22" x14ac:dyDescent="0.25">
      <c r="V573" s="1" t="str">
        <f>+IFERROR(IF(Tabla3[[#This Row],[Cilindros totales pendientes]]&gt;0,1,""),"")</f>
        <v/>
      </c>
    </row>
    <row r="574" spans="22:22" x14ac:dyDescent="0.25">
      <c r="V574" s="1" t="str">
        <f>+IFERROR(IF(Tabla3[[#This Row],[Cilindros totales pendientes]]&gt;0,1,""),"")</f>
        <v/>
      </c>
    </row>
    <row r="575" spans="22:22" x14ac:dyDescent="0.25">
      <c r="V575" s="1" t="str">
        <f>+IFERROR(IF(Tabla3[[#This Row],[Cilindros totales pendientes]]&gt;0,1,""),"")</f>
        <v/>
      </c>
    </row>
    <row r="576" spans="22:22" x14ac:dyDescent="0.25">
      <c r="V576" s="1" t="str">
        <f>+IFERROR(IF(Tabla3[[#This Row],[Cilindros totales pendientes]]&gt;0,1,""),"")</f>
        <v/>
      </c>
    </row>
    <row r="577" spans="22:22" x14ac:dyDescent="0.25">
      <c r="V577" s="1" t="str">
        <f>+IFERROR(IF(Tabla3[[#This Row],[Cilindros totales pendientes]]&gt;0,1,""),"")</f>
        <v/>
      </c>
    </row>
    <row r="578" spans="22:22" x14ac:dyDescent="0.25">
      <c r="V578" s="1" t="str">
        <f>+IFERROR(IF(Tabla3[[#This Row],[Cilindros totales pendientes]]&gt;0,1,""),"")</f>
        <v/>
      </c>
    </row>
    <row r="579" spans="22:22" x14ac:dyDescent="0.25">
      <c r="V579" s="1" t="str">
        <f>+IFERROR(IF(Tabla3[[#This Row],[Cilindros totales pendientes]]&gt;0,1,""),"")</f>
        <v/>
      </c>
    </row>
    <row r="580" spans="22:22" x14ac:dyDescent="0.25">
      <c r="V580" s="1" t="str">
        <f>+IFERROR(IF(Tabla3[[#This Row],[Cilindros totales pendientes]]&gt;0,1,""),"")</f>
        <v/>
      </c>
    </row>
    <row r="581" spans="22:22" x14ac:dyDescent="0.25">
      <c r="V581" s="1" t="str">
        <f>+IFERROR(IF(Tabla3[[#This Row],[Cilindros totales pendientes]]&gt;0,1,""),"")</f>
        <v/>
      </c>
    </row>
    <row r="582" spans="22:22" x14ac:dyDescent="0.25">
      <c r="V582" s="1" t="str">
        <f>+IFERROR(IF(Tabla3[[#This Row],[Cilindros totales pendientes]]&gt;0,1,""),"")</f>
        <v/>
      </c>
    </row>
    <row r="583" spans="22:22" x14ac:dyDescent="0.25">
      <c r="V583" s="1" t="str">
        <f>+IFERROR(IF(Tabla3[[#This Row],[Cilindros totales pendientes]]&gt;0,1,""),"")</f>
        <v/>
      </c>
    </row>
    <row r="584" spans="22:22" x14ac:dyDescent="0.25">
      <c r="V584" s="1" t="str">
        <f>+IFERROR(IF(Tabla3[[#This Row],[Cilindros totales pendientes]]&gt;0,1,""),"")</f>
        <v/>
      </c>
    </row>
    <row r="585" spans="22:22" x14ac:dyDescent="0.25">
      <c r="V585" s="1" t="str">
        <f>+IFERROR(IF(Tabla3[[#This Row],[Cilindros totales pendientes]]&gt;0,1,""),"")</f>
        <v/>
      </c>
    </row>
    <row r="586" spans="22:22" x14ac:dyDescent="0.25">
      <c r="V586" s="1" t="str">
        <f>+IFERROR(IF(Tabla3[[#This Row],[Cilindros totales pendientes]]&gt;0,1,""),"")</f>
        <v/>
      </c>
    </row>
    <row r="587" spans="22:22" x14ac:dyDescent="0.25">
      <c r="V587" s="1" t="str">
        <f>+IFERROR(IF(Tabla3[[#This Row],[Cilindros totales pendientes]]&gt;0,1,""),"")</f>
        <v/>
      </c>
    </row>
    <row r="588" spans="22:22" x14ac:dyDescent="0.25">
      <c r="V588" s="1" t="str">
        <f>+IFERROR(IF(Tabla3[[#This Row],[Cilindros totales pendientes]]&gt;0,1,""),"")</f>
        <v/>
      </c>
    </row>
    <row r="589" spans="22:22" x14ac:dyDescent="0.25">
      <c r="V589" s="1" t="str">
        <f>+IFERROR(IF(Tabla3[[#This Row],[Cilindros totales pendientes]]&gt;0,1,""),"")</f>
        <v/>
      </c>
    </row>
    <row r="590" spans="22:22" x14ac:dyDescent="0.25">
      <c r="V590" s="1" t="str">
        <f>+IFERROR(IF(Tabla3[[#This Row],[Cilindros totales pendientes]]&gt;0,1,""),"")</f>
        <v/>
      </c>
    </row>
    <row r="591" spans="22:22" x14ac:dyDescent="0.25">
      <c r="V591" s="1" t="str">
        <f>+IFERROR(IF(Tabla3[[#This Row],[Cilindros totales pendientes]]&gt;0,1,""),"")</f>
        <v/>
      </c>
    </row>
    <row r="592" spans="22:22" x14ac:dyDescent="0.25">
      <c r="V592" s="1" t="str">
        <f>+IFERROR(IF(Tabla3[[#This Row],[Cilindros totales pendientes]]&gt;0,1,""),"")</f>
        <v/>
      </c>
    </row>
    <row r="593" spans="22:22" x14ac:dyDescent="0.25">
      <c r="V593" s="1" t="str">
        <f>+IFERROR(IF(Tabla3[[#This Row],[Cilindros totales pendientes]]&gt;0,1,""),"")</f>
        <v/>
      </c>
    </row>
    <row r="594" spans="22:22" x14ac:dyDescent="0.25">
      <c r="V594" s="1" t="str">
        <f>+IFERROR(IF(Tabla3[[#This Row],[Cilindros totales pendientes]]&gt;0,1,""),"")</f>
        <v/>
      </c>
    </row>
    <row r="595" spans="22:22" x14ac:dyDescent="0.25">
      <c r="V595" s="1" t="str">
        <f>+IFERROR(IF(Tabla3[[#This Row],[Cilindros totales pendientes]]&gt;0,1,""),"")</f>
        <v/>
      </c>
    </row>
    <row r="596" spans="22:22" x14ac:dyDescent="0.25">
      <c r="V596" s="1" t="str">
        <f>+IFERROR(IF(Tabla3[[#This Row],[Cilindros totales pendientes]]&gt;0,1,""),"")</f>
        <v/>
      </c>
    </row>
    <row r="597" spans="22:22" x14ac:dyDescent="0.25">
      <c r="V597" s="1" t="str">
        <f>+IFERROR(IF(Tabla3[[#This Row],[Cilindros totales pendientes]]&gt;0,1,""),"")</f>
        <v/>
      </c>
    </row>
    <row r="598" spans="22:22" x14ac:dyDescent="0.25">
      <c r="V598" s="1" t="str">
        <f>+IFERROR(IF(Tabla3[[#This Row],[Cilindros totales pendientes]]&gt;0,1,""),"")</f>
        <v/>
      </c>
    </row>
    <row r="599" spans="22:22" x14ac:dyDescent="0.25">
      <c r="V599" s="1" t="str">
        <f>+IFERROR(IF(Tabla3[[#This Row],[Cilindros totales pendientes]]&gt;0,1,""),"")</f>
        <v/>
      </c>
    </row>
    <row r="600" spans="22:22" x14ac:dyDescent="0.25">
      <c r="V600" s="1" t="str">
        <f>+IFERROR(IF(Tabla3[[#This Row],[Cilindros totales pendientes]]&gt;0,1,""),"")</f>
        <v/>
      </c>
    </row>
    <row r="601" spans="22:22" x14ac:dyDescent="0.25">
      <c r="V601" s="1" t="str">
        <f>+IFERROR(IF(Tabla3[[#This Row],[Cilindros totales pendientes]]&gt;0,1,""),"")</f>
        <v/>
      </c>
    </row>
    <row r="602" spans="22:22" x14ac:dyDescent="0.25">
      <c r="V602" s="1" t="str">
        <f>+IFERROR(IF(Tabla3[[#This Row],[Cilindros totales pendientes]]&gt;0,1,""),"")</f>
        <v/>
      </c>
    </row>
    <row r="603" spans="22:22" x14ac:dyDescent="0.25">
      <c r="V603" s="1" t="str">
        <f>+IFERROR(IF(Tabla3[[#This Row],[Cilindros totales pendientes]]&gt;0,1,""),"")</f>
        <v/>
      </c>
    </row>
    <row r="604" spans="22:22" x14ac:dyDescent="0.25">
      <c r="V604" s="1" t="str">
        <f>+IFERROR(IF(Tabla3[[#This Row],[Cilindros totales pendientes]]&gt;0,1,""),"")</f>
        <v/>
      </c>
    </row>
    <row r="605" spans="22:22" x14ac:dyDescent="0.25">
      <c r="V605" s="1" t="str">
        <f>+IFERROR(IF(Tabla3[[#This Row],[Cilindros totales pendientes]]&gt;0,1,""),"")</f>
        <v/>
      </c>
    </row>
    <row r="606" spans="22:22" x14ac:dyDescent="0.25">
      <c r="V606" s="1" t="str">
        <f>+IFERROR(IF(Tabla3[[#This Row],[Cilindros totales pendientes]]&gt;0,1,""),"")</f>
        <v/>
      </c>
    </row>
    <row r="607" spans="22:22" x14ac:dyDescent="0.25">
      <c r="V607" s="1" t="str">
        <f>+IFERROR(IF(Tabla3[[#This Row],[Cilindros totales pendientes]]&gt;0,1,""),"")</f>
        <v/>
      </c>
    </row>
    <row r="608" spans="22:22" x14ac:dyDescent="0.25">
      <c r="V608" s="1" t="str">
        <f>+IFERROR(IF(Tabla3[[#This Row],[Cilindros totales pendientes]]&gt;0,1,""),"")</f>
        <v/>
      </c>
    </row>
    <row r="609" spans="22:22" x14ac:dyDescent="0.25">
      <c r="V609" s="1" t="str">
        <f>+IFERROR(IF(Tabla3[[#This Row],[Cilindros totales pendientes]]&gt;0,1,""),"")</f>
        <v/>
      </c>
    </row>
    <row r="610" spans="22:22" x14ac:dyDescent="0.25">
      <c r="V610" s="1" t="str">
        <f>+IFERROR(IF(Tabla3[[#This Row],[Cilindros totales pendientes]]&gt;0,1,""),"")</f>
        <v/>
      </c>
    </row>
    <row r="611" spans="22:22" x14ac:dyDescent="0.25">
      <c r="V611" s="1" t="str">
        <f>+IFERROR(IF(Tabla3[[#This Row],[Cilindros totales pendientes]]&gt;0,1,""),"")</f>
        <v/>
      </c>
    </row>
    <row r="612" spans="22:22" x14ac:dyDescent="0.25">
      <c r="V612" s="1" t="str">
        <f>+IFERROR(IF(Tabla3[[#This Row],[Cilindros totales pendientes]]&gt;0,1,""),"")</f>
        <v/>
      </c>
    </row>
    <row r="613" spans="22:22" x14ac:dyDescent="0.25">
      <c r="V613" s="1" t="str">
        <f>+IFERROR(IF(Tabla3[[#This Row],[Cilindros totales pendientes]]&gt;0,1,""),"")</f>
        <v/>
      </c>
    </row>
    <row r="614" spans="22:22" x14ac:dyDescent="0.25">
      <c r="V614" s="1" t="str">
        <f>+IFERROR(IF(Tabla3[[#This Row],[Cilindros totales pendientes]]&gt;0,1,""),"")</f>
        <v/>
      </c>
    </row>
    <row r="615" spans="22:22" x14ac:dyDescent="0.25">
      <c r="V615" s="1" t="str">
        <f>+IFERROR(IF(Tabla3[[#This Row],[Cilindros totales pendientes]]&gt;0,1,""),"")</f>
        <v/>
      </c>
    </row>
    <row r="616" spans="22:22" x14ac:dyDescent="0.25">
      <c r="V616" s="1" t="str">
        <f>+IFERROR(IF(Tabla3[[#This Row],[Cilindros totales pendientes]]&gt;0,1,""),"")</f>
        <v/>
      </c>
    </row>
    <row r="617" spans="22:22" x14ac:dyDescent="0.25">
      <c r="V617" s="1" t="str">
        <f>+IFERROR(IF(Tabla3[[#This Row],[Cilindros totales pendientes]]&gt;0,1,""),"")</f>
        <v/>
      </c>
    </row>
    <row r="618" spans="22:22" x14ac:dyDescent="0.25">
      <c r="V618" s="1" t="str">
        <f>+IFERROR(IF(Tabla3[[#This Row],[Cilindros totales pendientes]]&gt;0,1,""),"")</f>
        <v/>
      </c>
    </row>
    <row r="619" spans="22:22" x14ac:dyDescent="0.25">
      <c r="V619" s="1" t="str">
        <f>+IFERROR(IF(Tabla3[[#This Row],[Cilindros totales pendientes]]&gt;0,1,""),"")</f>
        <v/>
      </c>
    </row>
    <row r="620" spans="22:22" x14ac:dyDescent="0.25">
      <c r="V620" s="1" t="str">
        <f>+IFERROR(IF(Tabla3[[#This Row],[Cilindros totales pendientes]]&gt;0,1,""),"")</f>
        <v/>
      </c>
    </row>
    <row r="621" spans="22:22" x14ac:dyDescent="0.25">
      <c r="V621" s="1" t="str">
        <f>+IFERROR(IF(Tabla3[[#This Row],[Cilindros totales pendientes]]&gt;0,1,""),"")</f>
        <v/>
      </c>
    </row>
    <row r="622" spans="22:22" x14ac:dyDescent="0.25">
      <c r="V622" s="1" t="str">
        <f>+IFERROR(IF(Tabla3[[#This Row],[Cilindros totales pendientes]]&gt;0,1,""),"")</f>
        <v/>
      </c>
    </row>
    <row r="623" spans="22:22" x14ac:dyDescent="0.25">
      <c r="V623" s="1" t="str">
        <f>+IFERROR(IF(Tabla3[[#This Row],[Cilindros totales pendientes]]&gt;0,1,""),"")</f>
        <v/>
      </c>
    </row>
    <row r="624" spans="22:22" x14ac:dyDescent="0.25">
      <c r="V624" s="1" t="str">
        <f>+IFERROR(IF(Tabla3[[#This Row],[Cilindros totales pendientes]]&gt;0,1,""),"")</f>
        <v/>
      </c>
    </row>
    <row r="625" spans="22:22" x14ac:dyDescent="0.25">
      <c r="V625" s="1" t="str">
        <f>+IFERROR(IF(Tabla3[[#This Row],[Cilindros totales pendientes]]&gt;0,1,""),"")</f>
        <v/>
      </c>
    </row>
    <row r="626" spans="22:22" x14ac:dyDescent="0.25">
      <c r="V626" s="1" t="str">
        <f>+IFERROR(IF(Tabla3[[#This Row],[Cilindros totales pendientes]]&gt;0,1,""),"")</f>
        <v/>
      </c>
    </row>
    <row r="627" spans="22:22" x14ac:dyDescent="0.25">
      <c r="V627" s="1" t="str">
        <f>+IFERROR(IF(Tabla3[[#This Row],[Cilindros totales pendientes]]&gt;0,1,""),"")</f>
        <v/>
      </c>
    </row>
    <row r="628" spans="22:22" x14ac:dyDescent="0.25">
      <c r="V628" s="1" t="str">
        <f>+IFERROR(IF(Tabla3[[#This Row],[Cilindros totales pendientes]]&gt;0,1,""),"")</f>
        <v/>
      </c>
    </row>
    <row r="629" spans="22:22" x14ac:dyDescent="0.25">
      <c r="V629" s="1" t="str">
        <f>+IFERROR(IF(Tabla3[[#This Row],[Cilindros totales pendientes]]&gt;0,1,""),"")</f>
        <v/>
      </c>
    </row>
    <row r="630" spans="22:22" x14ac:dyDescent="0.25">
      <c r="V630" s="1" t="str">
        <f>+IFERROR(IF(Tabla3[[#This Row],[Cilindros totales pendientes]]&gt;0,1,""),"")</f>
        <v/>
      </c>
    </row>
    <row r="631" spans="22:22" x14ac:dyDescent="0.25">
      <c r="V631" s="1" t="str">
        <f>+IFERROR(IF(Tabla3[[#This Row],[Cilindros totales pendientes]]&gt;0,1,""),"")</f>
        <v/>
      </c>
    </row>
    <row r="632" spans="22:22" x14ac:dyDescent="0.25">
      <c r="V632" s="1" t="str">
        <f>+IFERROR(IF(Tabla3[[#This Row],[Cilindros totales pendientes]]&gt;0,1,""),"")</f>
        <v/>
      </c>
    </row>
    <row r="633" spans="22:22" x14ac:dyDescent="0.25">
      <c r="V633" s="1" t="str">
        <f>+IFERROR(IF(Tabla3[[#This Row],[Cilindros totales pendientes]]&gt;0,1,""),"")</f>
        <v/>
      </c>
    </row>
    <row r="634" spans="22:22" x14ac:dyDescent="0.25">
      <c r="V634" s="1" t="str">
        <f>+IFERROR(IF(Tabla3[[#This Row],[Cilindros totales pendientes]]&gt;0,1,""),"")</f>
        <v/>
      </c>
    </row>
    <row r="635" spans="22:22" x14ac:dyDescent="0.25">
      <c r="V635" s="1" t="str">
        <f>+IFERROR(IF(Tabla3[[#This Row],[Cilindros totales pendientes]]&gt;0,1,""),"")</f>
        <v/>
      </c>
    </row>
    <row r="636" spans="22:22" x14ac:dyDescent="0.25">
      <c r="V636" s="1" t="str">
        <f>+IFERROR(IF(Tabla3[[#This Row],[Cilindros totales pendientes]]&gt;0,1,""),"")</f>
        <v/>
      </c>
    </row>
    <row r="637" spans="22:22" x14ac:dyDescent="0.25">
      <c r="V637" s="1" t="str">
        <f>+IFERROR(IF(Tabla3[[#This Row],[Cilindros totales pendientes]]&gt;0,1,""),"")</f>
        <v/>
      </c>
    </row>
    <row r="638" spans="22:22" x14ac:dyDescent="0.25">
      <c r="V638" s="1" t="str">
        <f>+IFERROR(IF(Tabla3[[#This Row],[Cilindros totales pendientes]]&gt;0,1,""),"")</f>
        <v/>
      </c>
    </row>
    <row r="639" spans="22:22" x14ac:dyDescent="0.25">
      <c r="V639" s="1" t="str">
        <f>+IFERROR(IF(Tabla3[[#This Row],[Cilindros totales pendientes]]&gt;0,1,""),"")</f>
        <v/>
      </c>
    </row>
    <row r="640" spans="22:22" x14ac:dyDescent="0.25">
      <c r="V640" s="1" t="str">
        <f>+IFERROR(IF(Tabla3[[#This Row],[Cilindros totales pendientes]]&gt;0,1,""),"")</f>
        <v/>
      </c>
    </row>
    <row r="641" spans="22:22" x14ac:dyDescent="0.25">
      <c r="V641" s="1" t="str">
        <f>+IFERROR(IF(Tabla3[[#This Row],[Cilindros totales pendientes]]&gt;0,1,""),"")</f>
        <v/>
      </c>
    </row>
    <row r="642" spans="22:22" x14ac:dyDescent="0.25">
      <c r="V642" s="1" t="str">
        <f>+IFERROR(IF(Tabla3[[#This Row],[Cilindros totales pendientes]]&gt;0,1,""),"")</f>
        <v/>
      </c>
    </row>
    <row r="643" spans="22:22" x14ac:dyDescent="0.25">
      <c r="V643" s="1" t="str">
        <f>+IFERROR(IF(Tabla3[[#This Row],[Cilindros totales pendientes]]&gt;0,1,""),"")</f>
        <v/>
      </c>
    </row>
    <row r="644" spans="22:22" x14ac:dyDescent="0.25">
      <c r="V644" s="1" t="str">
        <f>+IFERROR(IF(Tabla3[[#This Row],[Cilindros totales pendientes]]&gt;0,1,""),"")</f>
        <v/>
      </c>
    </row>
    <row r="645" spans="22:22" x14ac:dyDescent="0.25">
      <c r="V645" s="1" t="str">
        <f>+IFERROR(IF(Tabla3[[#This Row],[Cilindros totales pendientes]]&gt;0,1,""),"")</f>
        <v/>
      </c>
    </row>
    <row r="646" spans="22:22" x14ac:dyDescent="0.25">
      <c r="V646" s="1" t="str">
        <f>+IFERROR(IF(Tabla3[[#This Row],[Cilindros totales pendientes]]&gt;0,1,""),"")</f>
        <v/>
      </c>
    </row>
    <row r="647" spans="22:22" x14ac:dyDescent="0.25">
      <c r="V647" s="1" t="str">
        <f>+IFERROR(IF(Tabla3[[#This Row],[Cilindros totales pendientes]]&gt;0,1,""),"")</f>
        <v/>
      </c>
    </row>
    <row r="648" spans="22:22" x14ac:dyDescent="0.25">
      <c r="V648" s="1" t="str">
        <f>+IFERROR(IF(Tabla3[[#This Row],[Cilindros totales pendientes]]&gt;0,1,""),"")</f>
        <v/>
      </c>
    </row>
    <row r="649" spans="22:22" x14ac:dyDescent="0.25">
      <c r="V649" s="1" t="str">
        <f>+IFERROR(IF(Tabla3[[#This Row],[Cilindros totales pendientes]]&gt;0,1,""),"")</f>
        <v/>
      </c>
    </row>
    <row r="650" spans="22:22" x14ac:dyDescent="0.25">
      <c r="V650" s="1" t="str">
        <f>+IFERROR(IF(Tabla3[[#This Row],[Cilindros totales pendientes]]&gt;0,1,""),"")</f>
        <v/>
      </c>
    </row>
    <row r="651" spans="22:22" x14ac:dyDescent="0.25">
      <c r="V651" s="1" t="str">
        <f>+IFERROR(IF(Tabla3[[#This Row],[Cilindros totales pendientes]]&gt;0,1,""),"")</f>
        <v/>
      </c>
    </row>
    <row r="652" spans="22:22" x14ac:dyDescent="0.25">
      <c r="V652" s="1" t="str">
        <f>+IFERROR(IF(Tabla3[[#This Row],[Cilindros totales pendientes]]&gt;0,1,""),"")</f>
        <v/>
      </c>
    </row>
    <row r="653" spans="22:22" x14ac:dyDescent="0.25">
      <c r="V653" s="1" t="str">
        <f>+IFERROR(IF(Tabla3[[#This Row],[Cilindros totales pendientes]]&gt;0,1,""),"")</f>
        <v/>
      </c>
    </row>
    <row r="654" spans="22:22" x14ac:dyDescent="0.25">
      <c r="V654" s="1" t="str">
        <f>+IFERROR(IF(Tabla3[[#This Row],[Cilindros totales pendientes]]&gt;0,1,""),"")</f>
        <v/>
      </c>
    </row>
    <row r="655" spans="22:22" x14ac:dyDescent="0.25">
      <c r="V655" s="1" t="str">
        <f>+IFERROR(IF(Tabla3[[#This Row],[Cilindros totales pendientes]]&gt;0,1,""),"")</f>
        <v/>
      </c>
    </row>
    <row r="656" spans="22:22" x14ac:dyDescent="0.25">
      <c r="V656" s="1" t="str">
        <f>+IFERROR(IF(Tabla3[[#This Row],[Cilindros totales pendientes]]&gt;0,1,""),"")</f>
        <v/>
      </c>
    </row>
    <row r="657" spans="22:22" x14ac:dyDescent="0.25">
      <c r="V657" s="1" t="str">
        <f>+IFERROR(IF(Tabla3[[#This Row],[Cilindros totales pendientes]]&gt;0,1,""),"")</f>
        <v/>
      </c>
    </row>
    <row r="658" spans="22:22" x14ac:dyDescent="0.25">
      <c r="V658" s="1" t="str">
        <f>+IFERROR(IF(Tabla3[[#This Row],[Cilindros totales pendientes]]&gt;0,1,""),"")</f>
        <v/>
      </c>
    </row>
    <row r="659" spans="22:22" x14ac:dyDescent="0.25">
      <c r="V659" s="1" t="str">
        <f>+IFERROR(IF(Tabla3[[#This Row],[Cilindros totales pendientes]]&gt;0,1,""),"")</f>
        <v/>
      </c>
    </row>
    <row r="660" spans="22:22" x14ac:dyDescent="0.25">
      <c r="V660" s="1" t="str">
        <f>+IFERROR(IF(Tabla3[[#This Row],[Cilindros totales pendientes]]&gt;0,1,""),"")</f>
        <v/>
      </c>
    </row>
    <row r="661" spans="22:22" x14ac:dyDescent="0.25">
      <c r="V661" s="1" t="str">
        <f>+IFERROR(IF(Tabla3[[#This Row],[Cilindros totales pendientes]]&gt;0,1,""),"")</f>
        <v/>
      </c>
    </row>
    <row r="662" spans="22:22" x14ac:dyDescent="0.25">
      <c r="V662" s="1" t="str">
        <f>+IFERROR(IF(Tabla3[[#This Row],[Cilindros totales pendientes]]&gt;0,1,""),"")</f>
        <v/>
      </c>
    </row>
    <row r="663" spans="22:22" x14ac:dyDescent="0.25">
      <c r="V663" s="1" t="str">
        <f>+IFERROR(IF(Tabla3[[#This Row],[Cilindros totales pendientes]]&gt;0,1,""),"")</f>
        <v/>
      </c>
    </row>
    <row r="664" spans="22:22" x14ac:dyDescent="0.25">
      <c r="V664" s="1" t="str">
        <f>+IFERROR(IF(Tabla3[[#This Row],[Cilindros totales pendientes]]&gt;0,1,""),"")</f>
        <v/>
      </c>
    </row>
    <row r="665" spans="22:22" x14ac:dyDescent="0.25">
      <c r="V665" s="1" t="str">
        <f>+IFERROR(IF(Tabla3[[#This Row],[Cilindros totales pendientes]]&gt;0,1,""),"")</f>
        <v/>
      </c>
    </row>
    <row r="666" spans="22:22" x14ac:dyDescent="0.25">
      <c r="V666" s="1" t="str">
        <f>+IFERROR(IF(Tabla3[[#This Row],[Cilindros totales pendientes]]&gt;0,1,""),"")</f>
        <v/>
      </c>
    </row>
    <row r="667" spans="22:22" x14ac:dyDescent="0.25">
      <c r="V667" s="1" t="str">
        <f>+IFERROR(IF(Tabla3[[#This Row],[Cilindros totales pendientes]]&gt;0,1,""),"")</f>
        <v/>
      </c>
    </row>
    <row r="668" spans="22:22" x14ac:dyDescent="0.25">
      <c r="V668" s="1" t="str">
        <f>+IFERROR(IF(Tabla3[[#This Row],[Cilindros totales pendientes]]&gt;0,1,""),"")</f>
        <v/>
      </c>
    </row>
    <row r="669" spans="22:22" x14ac:dyDescent="0.25">
      <c r="V669" s="1" t="str">
        <f>+IFERROR(IF(Tabla3[[#This Row],[Cilindros totales pendientes]]&gt;0,1,""),"")</f>
        <v/>
      </c>
    </row>
    <row r="670" spans="22:22" x14ac:dyDescent="0.25">
      <c r="V670" s="1" t="str">
        <f>+IFERROR(IF(Tabla3[[#This Row],[Cilindros totales pendientes]]&gt;0,1,""),"")</f>
        <v/>
      </c>
    </row>
    <row r="671" spans="22:22" x14ac:dyDescent="0.25">
      <c r="V671" s="1" t="str">
        <f>+IFERROR(IF(Tabla3[[#This Row],[Cilindros totales pendientes]]&gt;0,1,""),"")</f>
        <v/>
      </c>
    </row>
    <row r="672" spans="22:22" x14ac:dyDescent="0.25">
      <c r="V672" s="1" t="str">
        <f>+IFERROR(IF(Tabla3[[#This Row],[Cilindros totales pendientes]]&gt;0,1,""),"")</f>
        <v/>
      </c>
    </row>
    <row r="673" spans="22:22" x14ac:dyDescent="0.25">
      <c r="V673" s="1" t="str">
        <f>+IFERROR(IF(Tabla3[[#This Row],[Cilindros totales pendientes]]&gt;0,1,""),"")</f>
        <v/>
      </c>
    </row>
    <row r="674" spans="22:22" x14ac:dyDescent="0.25">
      <c r="V674" s="1" t="str">
        <f>+IFERROR(IF(Tabla3[[#This Row],[Cilindros totales pendientes]]&gt;0,1,""),"")</f>
        <v/>
      </c>
    </row>
    <row r="675" spans="22:22" x14ac:dyDescent="0.25">
      <c r="V675" s="1" t="str">
        <f>+IFERROR(IF(Tabla3[[#This Row],[Cilindros totales pendientes]]&gt;0,1,""),"")</f>
        <v/>
      </c>
    </row>
    <row r="676" spans="22:22" x14ac:dyDescent="0.25">
      <c r="V676" s="1" t="str">
        <f>+IFERROR(IF(Tabla3[[#This Row],[Cilindros totales pendientes]]&gt;0,1,""),"")</f>
        <v/>
      </c>
    </row>
    <row r="677" spans="22:22" x14ac:dyDescent="0.25">
      <c r="V677" s="1" t="str">
        <f>+IFERROR(IF(Tabla3[[#This Row],[Cilindros totales pendientes]]&gt;0,1,""),"")</f>
        <v/>
      </c>
    </row>
    <row r="678" spans="22:22" x14ac:dyDescent="0.25">
      <c r="V678" s="1" t="str">
        <f>+IFERROR(IF(Tabla3[[#This Row],[Cilindros totales pendientes]]&gt;0,1,""),"")</f>
        <v/>
      </c>
    </row>
    <row r="679" spans="22:22" x14ac:dyDescent="0.25">
      <c r="V679" s="1" t="str">
        <f>+IFERROR(IF(Tabla3[[#This Row],[Cilindros totales pendientes]]&gt;0,1,""),"")</f>
        <v/>
      </c>
    </row>
    <row r="680" spans="22:22" x14ac:dyDescent="0.25">
      <c r="V680" s="1" t="str">
        <f>+IFERROR(IF(Tabla3[[#This Row],[Cilindros totales pendientes]]&gt;0,1,""),"")</f>
        <v/>
      </c>
    </row>
    <row r="681" spans="22:22" x14ac:dyDescent="0.25">
      <c r="V681" s="1" t="str">
        <f>+IFERROR(IF(Tabla3[[#This Row],[Cilindros totales pendientes]]&gt;0,1,""),"")</f>
        <v/>
      </c>
    </row>
    <row r="682" spans="22:22" x14ac:dyDescent="0.25">
      <c r="V682" s="1" t="str">
        <f>+IFERROR(IF(Tabla3[[#This Row],[Cilindros totales pendientes]]&gt;0,1,""),"")</f>
        <v/>
      </c>
    </row>
    <row r="683" spans="22:22" x14ac:dyDescent="0.25">
      <c r="V683" s="1" t="str">
        <f>+IFERROR(IF(Tabla3[[#This Row],[Cilindros totales pendientes]]&gt;0,1,""),"")</f>
        <v/>
      </c>
    </row>
    <row r="684" spans="22:22" x14ac:dyDescent="0.25">
      <c r="V684" s="1" t="str">
        <f>+IFERROR(IF(Tabla3[[#This Row],[Cilindros totales pendientes]]&gt;0,1,""),"")</f>
        <v/>
      </c>
    </row>
    <row r="685" spans="22:22" x14ac:dyDescent="0.25">
      <c r="V685" s="1" t="str">
        <f>+IFERROR(IF(Tabla3[[#This Row],[Cilindros totales pendientes]]&gt;0,1,""),"")</f>
        <v/>
      </c>
    </row>
    <row r="686" spans="22:22" x14ac:dyDescent="0.25">
      <c r="V686" s="1" t="str">
        <f>+IFERROR(IF(Tabla3[[#This Row],[Cilindros totales pendientes]]&gt;0,1,""),"")</f>
        <v/>
      </c>
    </row>
    <row r="687" spans="22:22" x14ac:dyDescent="0.25">
      <c r="V687" s="1" t="str">
        <f>+IFERROR(IF(Tabla3[[#This Row],[Cilindros totales pendientes]]&gt;0,1,""),"")</f>
        <v/>
      </c>
    </row>
    <row r="688" spans="22:22" x14ac:dyDescent="0.25">
      <c r="V688" s="1" t="str">
        <f>+IFERROR(IF(Tabla3[[#This Row],[Cilindros totales pendientes]]&gt;0,1,""),"")</f>
        <v/>
      </c>
    </row>
    <row r="689" spans="22:22" x14ac:dyDescent="0.25">
      <c r="V689" s="1" t="str">
        <f>+IFERROR(IF(Tabla3[[#This Row],[Cilindros totales pendientes]]&gt;0,1,""),"")</f>
        <v/>
      </c>
    </row>
    <row r="690" spans="22:22" x14ac:dyDescent="0.25">
      <c r="V690" s="1" t="str">
        <f>+IFERROR(IF(Tabla3[[#This Row],[Cilindros totales pendientes]]&gt;0,1,""),"")</f>
        <v/>
      </c>
    </row>
    <row r="691" spans="22:22" x14ac:dyDescent="0.25">
      <c r="V691" s="1" t="str">
        <f>+IFERROR(IF(Tabla3[[#This Row],[Cilindros totales pendientes]]&gt;0,1,""),"")</f>
        <v/>
      </c>
    </row>
    <row r="692" spans="22:22" x14ac:dyDescent="0.25">
      <c r="V692" s="1" t="str">
        <f>+IFERROR(IF(Tabla3[[#This Row],[Cilindros totales pendientes]]&gt;0,1,""),"")</f>
        <v/>
      </c>
    </row>
    <row r="693" spans="22:22" x14ac:dyDescent="0.25">
      <c r="V693" s="1" t="str">
        <f>+IFERROR(IF(Tabla3[[#This Row],[Cilindros totales pendientes]]&gt;0,1,""),"")</f>
        <v/>
      </c>
    </row>
    <row r="694" spans="22:22" x14ac:dyDescent="0.25">
      <c r="V694" s="1" t="str">
        <f>+IFERROR(IF(Tabla3[[#This Row],[Cilindros totales pendientes]]&gt;0,1,""),"")</f>
        <v/>
      </c>
    </row>
    <row r="695" spans="22:22" x14ac:dyDescent="0.25">
      <c r="V695" s="1" t="str">
        <f>+IFERROR(IF(Tabla3[[#This Row],[Cilindros totales pendientes]]&gt;0,1,""),"")</f>
        <v/>
      </c>
    </row>
    <row r="696" spans="22:22" x14ac:dyDescent="0.25">
      <c r="V696" s="1" t="str">
        <f>+IFERROR(IF(Tabla3[[#This Row],[Cilindros totales pendientes]]&gt;0,1,""),"")</f>
        <v/>
      </c>
    </row>
    <row r="697" spans="22:22" x14ac:dyDescent="0.25">
      <c r="V697" s="1" t="str">
        <f>+IFERROR(IF(Tabla3[[#This Row],[Cilindros totales pendientes]]&gt;0,1,""),"")</f>
        <v/>
      </c>
    </row>
    <row r="698" spans="22:22" x14ac:dyDescent="0.25">
      <c r="V698" s="1" t="str">
        <f>+IFERROR(IF(Tabla3[[#This Row],[Cilindros totales pendientes]]&gt;0,1,""),"")</f>
        <v/>
      </c>
    </row>
    <row r="699" spans="22:22" x14ac:dyDescent="0.25">
      <c r="V699" s="1" t="str">
        <f>+IFERROR(IF(Tabla3[[#This Row],[Cilindros totales pendientes]]&gt;0,1,""),"")</f>
        <v/>
      </c>
    </row>
    <row r="700" spans="22:22" x14ac:dyDescent="0.25">
      <c r="V700" s="1" t="str">
        <f>+IFERROR(IF(Tabla3[[#This Row],[Cilindros totales pendientes]]&gt;0,1,""),"")</f>
        <v/>
      </c>
    </row>
    <row r="701" spans="22:22" x14ac:dyDescent="0.25">
      <c r="V701" s="1" t="str">
        <f>+IFERROR(IF(Tabla3[[#This Row],[Cilindros totales pendientes]]&gt;0,1,""),"")</f>
        <v/>
      </c>
    </row>
    <row r="702" spans="22:22" x14ac:dyDescent="0.25">
      <c r="V702" s="1" t="str">
        <f>+IFERROR(IF(Tabla3[[#This Row],[Cilindros totales pendientes]]&gt;0,1,""),"")</f>
        <v/>
      </c>
    </row>
    <row r="703" spans="22:22" x14ac:dyDescent="0.25">
      <c r="V703" s="1" t="str">
        <f>+IFERROR(IF(Tabla3[[#This Row],[Cilindros totales pendientes]]&gt;0,1,""),"")</f>
        <v/>
      </c>
    </row>
    <row r="704" spans="22:22" x14ac:dyDescent="0.25">
      <c r="V704" s="1" t="str">
        <f>+IFERROR(IF(Tabla3[[#This Row],[Cilindros totales pendientes]]&gt;0,1,""),"")</f>
        <v/>
      </c>
    </row>
    <row r="705" spans="22:22" x14ac:dyDescent="0.25">
      <c r="V705" s="1" t="str">
        <f>+IFERROR(IF(Tabla3[[#This Row],[Cilindros totales pendientes]]&gt;0,1,""),"")</f>
        <v/>
      </c>
    </row>
    <row r="706" spans="22:22" x14ac:dyDescent="0.25">
      <c r="V706" s="1" t="str">
        <f>+IFERROR(IF(Tabla3[[#This Row],[Cilindros totales pendientes]]&gt;0,1,""),"")</f>
        <v/>
      </c>
    </row>
    <row r="707" spans="22:22" x14ac:dyDescent="0.25">
      <c r="V707" s="1" t="str">
        <f>+IFERROR(IF(Tabla3[[#This Row],[Cilindros totales pendientes]]&gt;0,1,""),"")</f>
        <v/>
      </c>
    </row>
    <row r="708" spans="22:22" x14ac:dyDescent="0.25">
      <c r="V708" s="1" t="str">
        <f>+IFERROR(IF(Tabla3[[#This Row],[Cilindros totales pendientes]]&gt;0,1,""),"")</f>
        <v/>
      </c>
    </row>
    <row r="709" spans="22:22" x14ac:dyDescent="0.25">
      <c r="V709" s="1" t="str">
        <f>+IFERROR(IF(Tabla3[[#This Row],[Cilindros totales pendientes]]&gt;0,1,""),"")</f>
        <v/>
      </c>
    </row>
    <row r="710" spans="22:22" x14ac:dyDescent="0.25">
      <c r="V710" s="1" t="str">
        <f>+IFERROR(IF(Tabla3[[#This Row],[Cilindros totales pendientes]]&gt;0,1,""),"")</f>
        <v/>
      </c>
    </row>
    <row r="711" spans="22:22" x14ac:dyDescent="0.25">
      <c r="V711" s="1" t="str">
        <f>+IFERROR(IF(Tabla3[[#This Row],[Cilindros totales pendientes]]&gt;0,1,""),"")</f>
        <v/>
      </c>
    </row>
    <row r="712" spans="22:22" x14ac:dyDescent="0.25">
      <c r="V712" s="1" t="str">
        <f>+IFERROR(IF(Tabla3[[#This Row],[Cilindros totales pendientes]]&gt;0,1,""),"")</f>
        <v/>
      </c>
    </row>
    <row r="713" spans="22:22" x14ac:dyDescent="0.25">
      <c r="V713" s="1" t="str">
        <f>+IFERROR(IF(Tabla3[[#This Row],[Cilindros totales pendientes]]&gt;0,1,""),"")</f>
        <v/>
      </c>
    </row>
    <row r="714" spans="22:22" x14ac:dyDescent="0.25">
      <c r="V714" s="1" t="str">
        <f>+IFERROR(IF(Tabla3[[#This Row],[Cilindros totales pendientes]]&gt;0,1,""),"")</f>
        <v/>
      </c>
    </row>
    <row r="715" spans="22:22" x14ac:dyDescent="0.25">
      <c r="V715" s="1" t="str">
        <f>+IFERROR(IF(Tabla3[[#This Row],[Cilindros totales pendientes]]&gt;0,1,""),"")</f>
        <v/>
      </c>
    </row>
    <row r="716" spans="22:22" x14ac:dyDescent="0.25">
      <c r="V716" s="1" t="str">
        <f>+IFERROR(IF(Tabla3[[#This Row],[Cilindros totales pendientes]]&gt;0,1,""),"")</f>
        <v/>
      </c>
    </row>
    <row r="717" spans="22:22" x14ac:dyDescent="0.25">
      <c r="V717" s="1" t="str">
        <f>+IFERROR(IF(Tabla3[[#This Row],[Cilindros totales pendientes]]&gt;0,1,""),"")</f>
        <v/>
      </c>
    </row>
    <row r="718" spans="22:22" x14ac:dyDescent="0.25">
      <c r="V718" s="1" t="str">
        <f>+IFERROR(IF(Tabla3[[#This Row],[Cilindros totales pendientes]]&gt;0,1,""),"")</f>
        <v/>
      </c>
    </row>
    <row r="719" spans="22:22" x14ac:dyDescent="0.25">
      <c r="V719" s="1" t="str">
        <f>+IFERROR(IF(Tabla3[[#This Row],[Cilindros totales pendientes]]&gt;0,1,""),"")</f>
        <v/>
      </c>
    </row>
    <row r="720" spans="22:22" x14ac:dyDescent="0.25">
      <c r="V720" s="1" t="str">
        <f>+IFERROR(IF(Tabla3[[#This Row],[Cilindros totales pendientes]]&gt;0,1,""),"")</f>
        <v/>
      </c>
    </row>
    <row r="721" spans="22:22" x14ac:dyDescent="0.25">
      <c r="V721" s="1" t="str">
        <f>+IFERROR(IF(Tabla3[[#This Row],[Cilindros totales pendientes]]&gt;0,1,""),"")</f>
        <v/>
      </c>
    </row>
    <row r="722" spans="22:22" x14ac:dyDescent="0.25">
      <c r="V722" s="1" t="str">
        <f>+IFERROR(IF(Tabla3[[#This Row],[Cilindros totales pendientes]]&gt;0,1,""),"")</f>
        <v/>
      </c>
    </row>
    <row r="723" spans="22:22" x14ac:dyDescent="0.25">
      <c r="V723" s="1" t="str">
        <f>+IFERROR(IF(Tabla3[[#This Row],[Cilindros totales pendientes]]&gt;0,1,""),"")</f>
        <v/>
      </c>
    </row>
    <row r="724" spans="22:22" x14ac:dyDescent="0.25">
      <c r="V724" s="1" t="str">
        <f>+IFERROR(IF(Tabla3[[#This Row],[Cilindros totales pendientes]]&gt;0,1,""),"")</f>
        <v/>
      </c>
    </row>
    <row r="725" spans="22:22" x14ac:dyDescent="0.25">
      <c r="V725" s="1" t="str">
        <f>+IFERROR(IF(Tabla3[[#This Row],[Cilindros totales pendientes]]&gt;0,1,""),"")</f>
        <v/>
      </c>
    </row>
    <row r="726" spans="22:22" x14ac:dyDescent="0.25">
      <c r="V726" s="1" t="str">
        <f>+IFERROR(IF(Tabla3[[#This Row],[Cilindros totales pendientes]]&gt;0,1,""),"")</f>
        <v/>
      </c>
    </row>
    <row r="727" spans="22:22" x14ac:dyDescent="0.25">
      <c r="V727" s="1" t="str">
        <f>+IFERROR(IF(Tabla3[[#This Row],[Cilindros totales pendientes]]&gt;0,1,""),"")</f>
        <v/>
      </c>
    </row>
    <row r="728" spans="22:22" x14ac:dyDescent="0.25">
      <c r="V728" s="1" t="str">
        <f>+IFERROR(IF(Tabla3[[#This Row],[Cilindros totales pendientes]]&gt;0,1,""),"")</f>
        <v/>
      </c>
    </row>
    <row r="729" spans="22:22" x14ac:dyDescent="0.25">
      <c r="V729" s="1" t="str">
        <f>+IFERROR(IF(Tabla3[[#This Row],[Cilindros totales pendientes]]&gt;0,1,""),"")</f>
        <v/>
      </c>
    </row>
    <row r="730" spans="22:22" x14ac:dyDescent="0.25">
      <c r="V730" s="1" t="str">
        <f>+IFERROR(IF(Tabla3[[#This Row],[Cilindros totales pendientes]]&gt;0,1,""),"")</f>
        <v/>
      </c>
    </row>
    <row r="731" spans="22:22" x14ac:dyDescent="0.25">
      <c r="V731" s="1" t="str">
        <f>+IFERROR(IF(Tabla3[[#This Row],[Cilindros totales pendientes]]&gt;0,1,""),"")</f>
        <v/>
      </c>
    </row>
    <row r="732" spans="22:22" x14ac:dyDescent="0.25">
      <c r="V732" s="1" t="str">
        <f>+IFERROR(IF(Tabla3[[#This Row],[Cilindros totales pendientes]]&gt;0,1,""),"")</f>
        <v/>
      </c>
    </row>
    <row r="733" spans="22:22" x14ac:dyDescent="0.25">
      <c r="V733" s="1" t="str">
        <f>+IFERROR(IF(Tabla3[[#This Row],[Cilindros totales pendientes]]&gt;0,1,""),"")</f>
        <v/>
      </c>
    </row>
    <row r="734" spans="22:22" x14ac:dyDescent="0.25">
      <c r="V734" s="1" t="str">
        <f>+IFERROR(IF(Tabla3[[#This Row],[Cilindros totales pendientes]]&gt;0,1,""),"")</f>
        <v/>
      </c>
    </row>
    <row r="735" spans="22:22" x14ac:dyDescent="0.25">
      <c r="V735" s="1" t="str">
        <f>+IFERROR(IF(Tabla3[[#This Row],[Cilindros totales pendientes]]&gt;0,1,""),"")</f>
        <v/>
      </c>
    </row>
    <row r="736" spans="22:22" x14ac:dyDescent="0.25">
      <c r="V736" s="1" t="str">
        <f>+IFERROR(IF(Tabla3[[#This Row],[Cilindros totales pendientes]]&gt;0,1,""),"")</f>
        <v/>
      </c>
    </row>
    <row r="737" spans="22:22" x14ac:dyDescent="0.25">
      <c r="V737" s="1" t="str">
        <f>+IFERROR(IF(Tabla3[[#This Row],[Cilindros totales pendientes]]&gt;0,1,""),"")</f>
        <v/>
      </c>
    </row>
    <row r="738" spans="22:22" x14ac:dyDescent="0.25">
      <c r="V738" s="1" t="str">
        <f>+IFERROR(IF(Tabla3[[#This Row],[Cilindros totales pendientes]]&gt;0,1,""),"")</f>
        <v/>
      </c>
    </row>
    <row r="739" spans="22:22" x14ac:dyDescent="0.25">
      <c r="V739" s="1" t="str">
        <f>+IFERROR(IF(Tabla3[[#This Row],[Cilindros totales pendientes]]&gt;0,1,""),"")</f>
        <v/>
      </c>
    </row>
    <row r="740" spans="22:22" x14ac:dyDescent="0.25">
      <c r="V740" s="1" t="str">
        <f>+IFERROR(IF(Tabla3[[#This Row],[Cilindros totales pendientes]]&gt;0,1,""),"")</f>
        <v/>
      </c>
    </row>
    <row r="741" spans="22:22" x14ac:dyDescent="0.25">
      <c r="V741" s="1" t="str">
        <f>+IFERROR(IF(Tabla3[[#This Row],[Cilindros totales pendientes]]&gt;0,1,""),"")</f>
        <v/>
      </c>
    </row>
    <row r="742" spans="22:22" x14ac:dyDescent="0.25">
      <c r="V742" s="1" t="str">
        <f>+IFERROR(IF(Tabla3[[#This Row],[Cilindros totales pendientes]]&gt;0,1,""),"")</f>
        <v/>
      </c>
    </row>
    <row r="743" spans="22:22" x14ac:dyDescent="0.25">
      <c r="V743" s="1" t="str">
        <f>+IFERROR(IF(Tabla3[[#This Row],[Cilindros totales pendientes]]&gt;0,1,""),"")</f>
        <v/>
      </c>
    </row>
    <row r="744" spans="22:22" x14ac:dyDescent="0.25">
      <c r="V744" s="1" t="str">
        <f>+IFERROR(IF(Tabla3[[#This Row],[Cilindros totales pendientes]]&gt;0,1,""),"")</f>
        <v/>
      </c>
    </row>
    <row r="745" spans="22:22" x14ac:dyDescent="0.25">
      <c r="V745" s="1" t="str">
        <f>+IFERROR(IF(Tabla3[[#This Row],[Cilindros totales pendientes]]&gt;0,1,""),"")</f>
        <v/>
      </c>
    </row>
    <row r="746" spans="22:22" x14ac:dyDescent="0.25">
      <c r="V746" s="1" t="str">
        <f>+IFERROR(IF(Tabla3[[#This Row],[Cilindros totales pendientes]]&gt;0,1,""),"")</f>
        <v/>
      </c>
    </row>
    <row r="747" spans="22:22" x14ac:dyDescent="0.25">
      <c r="V747" s="1" t="str">
        <f>+IFERROR(IF(Tabla3[[#This Row],[Cilindros totales pendientes]]&gt;0,1,""),"")</f>
        <v/>
      </c>
    </row>
    <row r="748" spans="22:22" x14ac:dyDescent="0.25">
      <c r="V748" s="1" t="str">
        <f>+IFERROR(IF(Tabla3[[#This Row],[Cilindros totales pendientes]]&gt;0,1,""),"")</f>
        <v/>
      </c>
    </row>
    <row r="749" spans="22:22" x14ac:dyDescent="0.25">
      <c r="V749" s="1" t="str">
        <f>+IFERROR(IF(Tabla3[[#This Row],[Cilindros totales pendientes]]&gt;0,1,""),"")</f>
        <v/>
      </c>
    </row>
    <row r="750" spans="22:22" x14ac:dyDescent="0.25">
      <c r="V750" s="1" t="str">
        <f>+IFERROR(IF(Tabla3[[#This Row],[Cilindros totales pendientes]]&gt;0,1,""),"")</f>
        <v/>
      </c>
    </row>
    <row r="751" spans="22:22" x14ac:dyDescent="0.25">
      <c r="V751" s="1" t="str">
        <f>+IFERROR(IF(Tabla3[[#This Row],[Cilindros totales pendientes]]&gt;0,1,""),"")</f>
        <v/>
      </c>
    </row>
    <row r="752" spans="22:22" x14ac:dyDescent="0.25">
      <c r="V752" s="1" t="str">
        <f>+IFERROR(IF(Tabla3[[#This Row],[Cilindros totales pendientes]]&gt;0,1,""),"")</f>
        <v/>
      </c>
    </row>
    <row r="753" spans="22:22" x14ac:dyDescent="0.25">
      <c r="V753" s="1" t="str">
        <f>+IFERROR(IF(Tabla3[[#This Row],[Cilindros totales pendientes]]&gt;0,1,""),"")</f>
        <v/>
      </c>
    </row>
    <row r="754" spans="22:22" x14ac:dyDescent="0.25">
      <c r="V754" s="1" t="str">
        <f>+IFERROR(IF(Tabla3[[#This Row],[Cilindros totales pendientes]]&gt;0,1,""),"")</f>
        <v/>
      </c>
    </row>
    <row r="755" spans="22:22" x14ac:dyDescent="0.25">
      <c r="V755" s="1" t="str">
        <f>+IFERROR(IF(Tabla3[[#This Row],[Cilindros totales pendientes]]&gt;0,1,""),"")</f>
        <v/>
      </c>
    </row>
    <row r="756" spans="22:22" x14ac:dyDescent="0.25">
      <c r="V756" s="1" t="str">
        <f>+IFERROR(IF(Tabla3[[#This Row],[Cilindros totales pendientes]]&gt;0,1,""),"")</f>
        <v/>
      </c>
    </row>
    <row r="757" spans="22:22" x14ac:dyDescent="0.25">
      <c r="V757" s="1" t="str">
        <f>+IFERROR(IF(Tabla3[[#This Row],[Cilindros totales pendientes]]&gt;0,1,""),"")</f>
        <v/>
      </c>
    </row>
    <row r="758" spans="22:22" x14ac:dyDescent="0.25">
      <c r="V758" s="1" t="str">
        <f>+IFERROR(IF(Tabla3[[#This Row],[Cilindros totales pendientes]]&gt;0,1,""),"")</f>
        <v/>
      </c>
    </row>
    <row r="759" spans="22:22" x14ac:dyDescent="0.25">
      <c r="V759" s="1" t="str">
        <f>+IFERROR(IF(Tabla3[[#This Row],[Cilindros totales pendientes]]&gt;0,1,""),"")</f>
        <v/>
      </c>
    </row>
    <row r="760" spans="22:22" x14ac:dyDescent="0.25">
      <c r="V760" s="1" t="str">
        <f>+IFERROR(IF(Tabla3[[#This Row],[Cilindros totales pendientes]]&gt;0,1,""),"")</f>
        <v/>
      </c>
    </row>
    <row r="761" spans="22:22" x14ac:dyDescent="0.25">
      <c r="V761" s="1" t="str">
        <f>+IFERROR(IF(Tabla3[[#This Row],[Cilindros totales pendientes]]&gt;0,1,""),"")</f>
        <v/>
      </c>
    </row>
    <row r="762" spans="22:22" x14ac:dyDescent="0.25">
      <c r="V762" s="1" t="str">
        <f>+IFERROR(IF(Tabla3[[#This Row],[Cilindros totales pendientes]]&gt;0,1,""),"")</f>
        <v/>
      </c>
    </row>
    <row r="763" spans="22:22" x14ac:dyDescent="0.25">
      <c r="V763" s="1" t="str">
        <f>+IFERROR(IF(Tabla3[[#This Row],[Cilindros totales pendientes]]&gt;0,1,""),"")</f>
        <v/>
      </c>
    </row>
    <row r="764" spans="22:22" x14ac:dyDescent="0.25">
      <c r="V764" s="1" t="str">
        <f>+IFERROR(IF(Tabla3[[#This Row],[Cilindros totales pendientes]]&gt;0,1,""),"")</f>
        <v/>
      </c>
    </row>
    <row r="765" spans="22:22" x14ac:dyDescent="0.25">
      <c r="V765" s="1" t="str">
        <f>+IFERROR(IF(Tabla3[[#This Row],[Cilindros totales pendientes]]&gt;0,1,""),"")</f>
        <v/>
      </c>
    </row>
    <row r="766" spans="22:22" x14ac:dyDescent="0.25">
      <c r="V766" s="1" t="str">
        <f>+IFERROR(IF(Tabla3[[#This Row],[Cilindros totales pendientes]]&gt;0,1,""),"")</f>
        <v/>
      </c>
    </row>
    <row r="767" spans="22:22" x14ac:dyDescent="0.25">
      <c r="V767" s="1" t="str">
        <f>+IFERROR(IF(Tabla3[[#This Row],[Cilindros totales pendientes]]&gt;0,1,""),"")</f>
        <v/>
      </c>
    </row>
    <row r="768" spans="22:22" x14ac:dyDescent="0.25">
      <c r="V768" s="1" t="str">
        <f>+IFERROR(IF(Tabla3[[#This Row],[Cilindros totales pendientes]]&gt;0,1,""),"")</f>
        <v/>
      </c>
    </row>
    <row r="769" spans="22:22" x14ac:dyDescent="0.25">
      <c r="V769" s="1" t="str">
        <f>+IFERROR(IF(Tabla3[[#This Row],[Cilindros totales pendientes]]&gt;0,1,""),"")</f>
        <v/>
      </c>
    </row>
    <row r="770" spans="22:22" x14ac:dyDescent="0.25">
      <c r="V770" s="1" t="str">
        <f>+IFERROR(IF(Tabla3[[#This Row],[Cilindros totales pendientes]]&gt;0,1,""),"")</f>
        <v/>
      </c>
    </row>
    <row r="771" spans="22:22" x14ac:dyDescent="0.25">
      <c r="V771" s="1" t="str">
        <f>+IFERROR(IF(Tabla3[[#This Row],[Cilindros totales pendientes]]&gt;0,1,""),"")</f>
        <v/>
      </c>
    </row>
    <row r="772" spans="22:22" x14ac:dyDescent="0.25">
      <c r="V772" s="1" t="str">
        <f>+IFERROR(IF(Tabla3[[#This Row],[Cilindros totales pendientes]]&gt;0,1,""),"")</f>
        <v/>
      </c>
    </row>
    <row r="773" spans="22:22" x14ac:dyDescent="0.25">
      <c r="V773" s="1" t="str">
        <f>+IFERROR(IF(Tabla3[[#This Row],[Cilindros totales pendientes]]&gt;0,1,""),"")</f>
        <v/>
      </c>
    </row>
    <row r="774" spans="22:22" x14ac:dyDescent="0.25">
      <c r="V774" s="1" t="str">
        <f>+IFERROR(IF(Tabla3[[#This Row],[Cilindros totales pendientes]]&gt;0,1,""),"")</f>
        <v/>
      </c>
    </row>
    <row r="775" spans="22:22" x14ac:dyDescent="0.25">
      <c r="V775" s="1" t="str">
        <f>+IFERROR(IF(Tabla3[[#This Row],[Cilindros totales pendientes]]&gt;0,1,""),"")</f>
        <v/>
      </c>
    </row>
    <row r="776" spans="22:22" x14ac:dyDescent="0.25">
      <c r="V776" s="1" t="str">
        <f>+IFERROR(IF(Tabla3[[#This Row],[Cilindros totales pendientes]]&gt;0,1,""),"")</f>
        <v/>
      </c>
    </row>
    <row r="777" spans="22:22" x14ac:dyDescent="0.25">
      <c r="V777" s="1" t="str">
        <f>+IFERROR(IF(Tabla3[[#This Row],[Cilindros totales pendientes]]&gt;0,1,""),"")</f>
        <v/>
      </c>
    </row>
    <row r="778" spans="22:22" x14ac:dyDescent="0.25">
      <c r="V778" s="1" t="str">
        <f>+IFERROR(IF(Tabla3[[#This Row],[Cilindros totales pendientes]]&gt;0,1,""),"")</f>
        <v/>
      </c>
    </row>
    <row r="779" spans="22:22" x14ac:dyDescent="0.25">
      <c r="V779" s="1" t="str">
        <f>+IFERROR(IF(Tabla3[[#This Row],[Cilindros totales pendientes]]&gt;0,1,""),"")</f>
        <v/>
      </c>
    </row>
    <row r="780" spans="22:22" x14ac:dyDescent="0.25">
      <c r="V780" s="1" t="str">
        <f>+IFERROR(IF(Tabla3[[#This Row],[Cilindros totales pendientes]]&gt;0,1,""),"")</f>
        <v/>
      </c>
    </row>
    <row r="781" spans="22:22" x14ac:dyDescent="0.25">
      <c r="V781" s="1" t="str">
        <f>+IFERROR(IF(Tabla3[[#This Row],[Cilindros totales pendientes]]&gt;0,1,""),"")</f>
        <v/>
      </c>
    </row>
    <row r="782" spans="22:22" x14ac:dyDescent="0.25">
      <c r="V782" s="1" t="str">
        <f>+IFERROR(IF(Tabla3[[#This Row],[Cilindros totales pendientes]]&gt;0,1,""),"")</f>
        <v/>
      </c>
    </row>
    <row r="783" spans="22:22" x14ac:dyDescent="0.25">
      <c r="V783" s="1" t="str">
        <f>+IFERROR(IF(Tabla3[[#This Row],[Cilindros totales pendientes]]&gt;0,1,""),"")</f>
        <v/>
      </c>
    </row>
    <row r="784" spans="22:22" x14ac:dyDescent="0.25">
      <c r="V784" s="1" t="str">
        <f>+IFERROR(IF(Tabla3[[#This Row],[Cilindros totales pendientes]]&gt;0,1,""),"")</f>
        <v/>
      </c>
    </row>
    <row r="785" spans="22:22" x14ac:dyDescent="0.25">
      <c r="V785" s="1" t="str">
        <f>+IFERROR(IF(Tabla3[[#This Row],[Cilindros totales pendientes]]&gt;0,1,""),"")</f>
        <v/>
      </c>
    </row>
    <row r="786" spans="22:22" x14ac:dyDescent="0.25">
      <c r="V786" s="1" t="str">
        <f>+IFERROR(IF(Tabla3[[#This Row],[Cilindros totales pendientes]]&gt;0,1,""),"")</f>
        <v/>
      </c>
    </row>
    <row r="787" spans="22:22" x14ac:dyDescent="0.25">
      <c r="V787" s="1" t="str">
        <f>+IFERROR(IF(Tabla3[[#This Row],[Cilindros totales pendientes]]&gt;0,1,""),"")</f>
        <v/>
      </c>
    </row>
    <row r="788" spans="22:22" x14ac:dyDescent="0.25">
      <c r="V788" s="1" t="str">
        <f>+IFERROR(IF(Tabla3[[#This Row],[Cilindros totales pendientes]]&gt;0,1,""),"")</f>
        <v/>
      </c>
    </row>
    <row r="789" spans="22:22" x14ac:dyDescent="0.25">
      <c r="V789" s="1" t="str">
        <f>+IFERROR(IF(Tabla3[[#This Row],[Cilindros totales pendientes]]&gt;0,1,""),"")</f>
        <v/>
      </c>
    </row>
    <row r="790" spans="22:22" x14ac:dyDescent="0.25">
      <c r="V790" s="1" t="str">
        <f>+IFERROR(IF(Tabla3[[#This Row],[Cilindros totales pendientes]]&gt;0,1,""),"")</f>
        <v/>
      </c>
    </row>
    <row r="791" spans="22:22" x14ac:dyDescent="0.25">
      <c r="V791" s="1" t="str">
        <f>+IFERROR(IF(Tabla3[[#This Row],[Cilindros totales pendientes]]&gt;0,1,""),"")</f>
        <v/>
      </c>
    </row>
    <row r="792" spans="22:22" x14ac:dyDescent="0.25">
      <c r="V792" s="1" t="str">
        <f>+IFERROR(IF(Tabla3[[#This Row],[Cilindros totales pendientes]]&gt;0,1,""),"")</f>
        <v/>
      </c>
    </row>
    <row r="793" spans="22:22" x14ac:dyDescent="0.25">
      <c r="V793" s="1" t="str">
        <f>+IFERROR(IF(Tabla3[[#This Row],[Cilindros totales pendientes]]&gt;0,1,""),"")</f>
        <v/>
      </c>
    </row>
    <row r="794" spans="22:22" x14ac:dyDescent="0.25">
      <c r="V794" s="1" t="str">
        <f>+IFERROR(IF(Tabla3[[#This Row],[Cilindros totales pendientes]]&gt;0,1,""),"")</f>
        <v/>
      </c>
    </row>
    <row r="795" spans="22:22" x14ac:dyDescent="0.25">
      <c r="V795" s="1" t="str">
        <f>+IFERROR(IF(Tabla3[[#This Row],[Cilindros totales pendientes]]&gt;0,1,""),"")</f>
        <v/>
      </c>
    </row>
    <row r="796" spans="22:22" x14ac:dyDescent="0.25">
      <c r="V796" s="1" t="str">
        <f>+IFERROR(IF(Tabla3[[#This Row],[Cilindros totales pendientes]]&gt;0,1,""),"")</f>
        <v/>
      </c>
    </row>
    <row r="797" spans="22:22" x14ac:dyDescent="0.25">
      <c r="V797" s="1" t="str">
        <f>+IFERROR(IF(Tabla3[[#This Row],[Cilindros totales pendientes]]&gt;0,1,""),"")</f>
        <v/>
      </c>
    </row>
    <row r="798" spans="22:22" x14ac:dyDescent="0.25">
      <c r="V798" s="1" t="str">
        <f>+IFERROR(IF(Tabla3[[#This Row],[Cilindros totales pendientes]]&gt;0,1,""),"")</f>
        <v/>
      </c>
    </row>
    <row r="799" spans="22:22" x14ac:dyDescent="0.25">
      <c r="V799" s="1" t="str">
        <f>+IFERROR(IF(Tabla3[[#This Row],[Cilindros totales pendientes]]&gt;0,1,""),"")</f>
        <v/>
      </c>
    </row>
    <row r="800" spans="22:22" x14ac:dyDescent="0.25">
      <c r="V800" s="1" t="str">
        <f>+IFERROR(IF(Tabla3[[#This Row],[Cilindros totales pendientes]]&gt;0,1,""),"")</f>
        <v/>
      </c>
    </row>
    <row r="801" spans="22:22" x14ac:dyDescent="0.25">
      <c r="V801" s="1" t="str">
        <f>+IFERROR(IF(Tabla3[[#This Row],[Cilindros totales pendientes]]&gt;0,1,""),"")</f>
        <v/>
      </c>
    </row>
    <row r="802" spans="22:22" x14ac:dyDescent="0.25">
      <c r="V802" s="1" t="str">
        <f>+IFERROR(IF(Tabla3[[#This Row],[Cilindros totales pendientes]]&gt;0,1,""),"")</f>
        <v/>
      </c>
    </row>
    <row r="803" spans="22:22" x14ac:dyDescent="0.25">
      <c r="V803" s="1" t="str">
        <f>+IFERROR(IF(Tabla3[[#This Row],[Cilindros totales pendientes]]&gt;0,1,""),"")</f>
        <v/>
      </c>
    </row>
    <row r="804" spans="22:22" x14ac:dyDescent="0.25">
      <c r="V804" s="1" t="str">
        <f>+IFERROR(IF(Tabla3[[#This Row],[Cilindros totales pendientes]]&gt;0,1,""),"")</f>
        <v/>
      </c>
    </row>
    <row r="805" spans="22:22" x14ac:dyDescent="0.25">
      <c r="V805" s="1" t="str">
        <f>+IFERROR(IF(Tabla3[[#This Row],[Cilindros totales pendientes]]&gt;0,1,""),"")</f>
        <v/>
      </c>
    </row>
    <row r="806" spans="22:22" x14ac:dyDescent="0.25">
      <c r="V806" s="1" t="str">
        <f>+IFERROR(IF(Tabla3[[#This Row],[Cilindros totales pendientes]]&gt;0,1,""),"")</f>
        <v/>
      </c>
    </row>
    <row r="807" spans="22:22" x14ac:dyDescent="0.25">
      <c r="V807" s="1" t="str">
        <f>+IFERROR(IF(Tabla3[[#This Row],[Cilindros totales pendientes]]&gt;0,1,""),"")</f>
        <v/>
      </c>
    </row>
    <row r="808" spans="22:22" x14ac:dyDescent="0.25">
      <c r="V808" s="1" t="str">
        <f>+IFERROR(IF(Tabla3[[#This Row],[Cilindros totales pendientes]]&gt;0,1,""),"")</f>
        <v/>
      </c>
    </row>
    <row r="809" spans="22:22" x14ac:dyDescent="0.25">
      <c r="V809" s="1" t="str">
        <f>+IFERROR(IF(Tabla3[[#This Row],[Cilindros totales pendientes]]&gt;0,1,""),"")</f>
        <v/>
      </c>
    </row>
    <row r="810" spans="22:22" x14ac:dyDescent="0.25">
      <c r="V810" s="1" t="str">
        <f>+IFERROR(IF(Tabla3[[#This Row],[Cilindros totales pendientes]]&gt;0,1,""),"")</f>
        <v/>
      </c>
    </row>
    <row r="811" spans="22:22" x14ac:dyDescent="0.25">
      <c r="V811" s="1" t="str">
        <f>+IFERROR(IF(Tabla3[[#This Row],[Cilindros totales pendientes]]&gt;0,1,""),"")</f>
        <v/>
      </c>
    </row>
    <row r="812" spans="22:22" x14ac:dyDescent="0.25">
      <c r="V812" s="1" t="str">
        <f>+IFERROR(IF(Tabla3[[#This Row],[Cilindros totales pendientes]]&gt;0,1,""),"")</f>
        <v/>
      </c>
    </row>
    <row r="813" spans="22:22" x14ac:dyDescent="0.25">
      <c r="V813" s="1" t="str">
        <f>+IFERROR(IF(Tabla3[[#This Row],[Cilindros totales pendientes]]&gt;0,1,""),"")</f>
        <v/>
      </c>
    </row>
    <row r="814" spans="22:22" x14ac:dyDescent="0.25">
      <c r="V814" s="1" t="str">
        <f>+IFERROR(IF(Tabla3[[#This Row],[Cilindros totales pendientes]]&gt;0,1,""),"")</f>
        <v/>
      </c>
    </row>
    <row r="815" spans="22:22" x14ac:dyDescent="0.25">
      <c r="V815" s="1" t="str">
        <f>+IFERROR(IF(Tabla3[[#This Row],[Cilindros totales pendientes]]&gt;0,1,""),"")</f>
        <v/>
      </c>
    </row>
    <row r="816" spans="22:22" x14ac:dyDescent="0.25">
      <c r="V816" s="1" t="str">
        <f>+IFERROR(IF(Tabla3[[#This Row],[Cilindros totales pendientes]]&gt;0,1,""),"")</f>
        <v/>
      </c>
    </row>
    <row r="817" spans="22:22" x14ac:dyDescent="0.25">
      <c r="V817" s="1" t="str">
        <f>+IFERROR(IF(Tabla3[[#This Row],[Cilindros totales pendientes]]&gt;0,1,""),"")</f>
        <v/>
      </c>
    </row>
    <row r="818" spans="22:22" x14ac:dyDescent="0.25">
      <c r="V818" s="1" t="str">
        <f>+IFERROR(IF(Tabla3[[#This Row],[Cilindros totales pendientes]]&gt;0,1,""),"")</f>
        <v/>
      </c>
    </row>
    <row r="819" spans="22:22" x14ac:dyDescent="0.25">
      <c r="V819" s="1" t="str">
        <f>+IFERROR(IF(Tabla3[[#This Row],[Cilindros totales pendientes]]&gt;0,1,""),"")</f>
        <v/>
      </c>
    </row>
    <row r="820" spans="22:22" x14ac:dyDescent="0.25">
      <c r="V820" s="1" t="str">
        <f>+IFERROR(IF(Tabla3[[#This Row],[Cilindros totales pendientes]]&gt;0,1,""),"")</f>
        <v/>
      </c>
    </row>
    <row r="821" spans="22:22" x14ac:dyDescent="0.25">
      <c r="V821" s="1" t="str">
        <f>+IFERROR(IF(Tabla3[[#This Row],[Cilindros totales pendientes]]&gt;0,1,""),"")</f>
        <v/>
      </c>
    </row>
    <row r="822" spans="22:22" x14ac:dyDescent="0.25">
      <c r="V822" s="1" t="str">
        <f>+IFERROR(IF(Tabla3[[#This Row],[Cilindros totales pendientes]]&gt;0,1,""),"")</f>
        <v/>
      </c>
    </row>
    <row r="823" spans="22:22" x14ac:dyDescent="0.25">
      <c r="V823" s="1" t="str">
        <f>+IFERROR(IF(Tabla3[[#This Row],[Cilindros totales pendientes]]&gt;0,1,""),"")</f>
        <v/>
      </c>
    </row>
    <row r="824" spans="22:22" x14ac:dyDescent="0.25">
      <c r="V824" s="1" t="str">
        <f>+IFERROR(IF(Tabla3[[#This Row],[Cilindros totales pendientes]]&gt;0,1,""),"")</f>
        <v/>
      </c>
    </row>
    <row r="825" spans="22:22" x14ac:dyDescent="0.25">
      <c r="V825" s="1" t="str">
        <f>+IFERROR(IF(Tabla3[[#This Row],[Cilindros totales pendientes]]&gt;0,1,""),"")</f>
        <v/>
      </c>
    </row>
    <row r="826" spans="22:22" x14ac:dyDescent="0.25">
      <c r="V826" s="1" t="str">
        <f>+IFERROR(IF(Tabla3[[#This Row],[Cilindros totales pendientes]]&gt;0,1,""),"")</f>
        <v/>
      </c>
    </row>
    <row r="827" spans="22:22" x14ac:dyDescent="0.25">
      <c r="V827" s="1" t="str">
        <f>+IFERROR(IF(Tabla3[[#This Row],[Cilindros totales pendientes]]&gt;0,1,""),"")</f>
        <v/>
      </c>
    </row>
    <row r="828" spans="22:22" x14ac:dyDescent="0.25">
      <c r="V828" s="1" t="str">
        <f>+IFERROR(IF(Tabla3[[#This Row],[Cilindros totales pendientes]]&gt;0,1,""),"")</f>
        <v/>
      </c>
    </row>
    <row r="829" spans="22:22" x14ac:dyDescent="0.25">
      <c r="V829" s="1" t="str">
        <f>+IFERROR(IF(Tabla3[[#This Row],[Cilindros totales pendientes]]&gt;0,1,""),"")</f>
        <v/>
      </c>
    </row>
    <row r="830" spans="22:22" x14ac:dyDescent="0.25">
      <c r="V830" s="1" t="str">
        <f>+IFERROR(IF(Tabla3[[#This Row],[Cilindros totales pendientes]]&gt;0,1,""),"")</f>
        <v/>
      </c>
    </row>
    <row r="831" spans="22:22" x14ac:dyDescent="0.25">
      <c r="V831" s="1" t="str">
        <f>+IFERROR(IF(Tabla3[[#This Row],[Cilindros totales pendientes]]&gt;0,1,""),"")</f>
        <v/>
      </c>
    </row>
    <row r="832" spans="22:22" x14ac:dyDescent="0.25">
      <c r="V832" s="1" t="str">
        <f>+IFERROR(IF(Tabla3[[#This Row],[Cilindros totales pendientes]]&gt;0,1,""),"")</f>
        <v/>
      </c>
    </row>
    <row r="833" spans="22:22" x14ac:dyDescent="0.25">
      <c r="V833" s="1" t="str">
        <f>+IFERROR(IF(Tabla3[[#This Row],[Cilindros totales pendientes]]&gt;0,1,""),"")</f>
        <v/>
      </c>
    </row>
    <row r="834" spans="22:22" x14ac:dyDescent="0.25">
      <c r="V834" s="1" t="str">
        <f>+IFERROR(IF(Tabla3[[#This Row],[Cilindros totales pendientes]]&gt;0,1,""),"")</f>
        <v/>
      </c>
    </row>
    <row r="835" spans="22:22" x14ac:dyDescent="0.25">
      <c r="V835" s="1" t="str">
        <f>+IFERROR(IF(Tabla3[[#This Row],[Cilindros totales pendientes]]&gt;0,1,""),"")</f>
        <v/>
      </c>
    </row>
    <row r="836" spans="22:22" x14ac:dyDescent="0.25">
      <c r="V836" s="1" t="str">
        <f>+IFERROR(IF(Tabla3[[#This Row],[Cilindros totales pendientes]]&gt;0,1,""),"")</f>
        <v/>
      </c>
    </row>
    <row r="837" spans="22:22" x14ac:dyDescent="0.25">
      <c r="V837" s="1" t="str">
        <f>+IFERROR(IF(Tabla3[[#This Row],[Cilindros totales pendientes]]&gt;0,1,""),"")</f>
        <v/>
      </c>
    </row>
    <row r="838" spans="22:22" x14ac:dyDescent="0.25">
      <c r="V838" s="1" t="str">
        <f>+IFERROR(IF(Tabla3[[#This Row],[Cilindros totales pendientes]]&gt;0,1,""),"")</f>
        <v/>
      </c>
    </row>
    <row r="839" spans="22:22" x14ac:dyDescent="0.25">
      <c r="V839" s="1" t="str">
        <f>+IFERROR(IF(Tabla3[[#This Row],[Cilindros totales pendientes]]&gt;0,1,""),"")</f>
        <v/>
      </c>
    </row>
    <row r="840" spans="22:22" x14ac:dyDescent="0.25">
      <c r="V840" s="1" t="str">
        <f>+IFERROR(IF(Tabla3[[#This Row],[Cilindros totales pendientes]]&gt;0,1,""),"")</f>
        <v/>
      </c>
    </row>
    <row r="841" spans="22:22" x14ac:dyDescent="0.25">
      <c r="V841" s="1" t="str">
        <f>+IFERROR(IF(Tabla3[[#This Row],[Cilindros totales pendientes]]&gt;0,1,""),"")</f>
        <v/>
      </c>
    </row>
    <row r="842" spans="22:22" x14ac:dyDescent="0.25">
      <c r="V842" s="1" t="str">
        <f>+IFERROR(IF(Tabla3[[#This Row],[Cilindros totales pendientes]]&gt;0,1,""),"")</f>
        <v/>
      </c>
    </row>
    <row r="843" spans="22:22" x14ac:dyDescent="0.25">
      <c r="V843" s="1" t="str">
        <f>+IFERROR(IF(Tabla3[[#This Row],[Cilindros totales pendientes]]&gt;0,1,""),"")</f>
        <v/>
      </c>
    </row>
    <row r="844" spans="22:22" x14ac:dyDescent="0.25">
      <c r="V844" s="1" t="str">
        <f>+IFERROR(IF(Tabla3[[#This Row],[Cilindros totales pendientes]]&gt;0,1,""),"")</f>
        <v/>
      </c>
    </row>
    <row r="845" spans="22:22" x14ac:dyDescent="0.25">
      <c r="V845" s="1" t="str">
        <f>+IFERROR(IF(Tabla3[[#This Row],[Cilindros totales pendientes]]&gt;0,1,""),"")</f>
        <v/>
      </c>
    </row>
    <row r="846" spans="22:22" x14ac:dyDescent="0.25">
      <c r="V846" s="1" t="str">
        <f>+IFERROR(IF(Tabla3[[#This Row],[Cilindros totales pendientes]]&gt;0,1,""),"")</f>
        <v/>
      </c>
    </row>
    <row r="847" spans="22:22" x14ac:dyDescent="0.25">
      <c r="V847" s="1" t="str">
        <f>+IFERROR(IF(Tabla3[[#This Row],[Cilindros totales pendientes]]&gt;0,1,""),"")</f>
        <v/>
      </c>
    </row>
    <row r="848" spans="22:22" x14ac:dyDescent="0.25">
      <c r="V848" s="1" t="str">
        <f>+IFERROR(IF(Tabla3[[#This Row],[Cilindros totales pendientes]]&gt;0,1,""),"")</f>
        <v/>
      </c>
    </row>
    <row r="849" spans="22:22" x14ac:dyDescent="0.25">
      <c r="V849" s="1" t="str">
        <f>+IFERROR(IF(Tabla3[[#This Row],[Cilindros totales pendientes]]&gt;0,1,""),"")</f>
        <v/>
      </c>
    </row>
    <row r="850" spans="22:22" x14ac:dyDescent="0.25">
      <c r="V850" s="1" t="str">
        <f>+IFERROR(IF(Tabla3[[#This Row],[Cilindros totales pendientes]]&gt;0,1,""),"")</f>
        <v/>
      </c>
    </row>
    <row r="851" spans="22:22" x14ac:dyDescent="0.25">
      <c r="V851" s="1" t="str">
        <f>+IFERROR(IF(Tabla3[[#This Row],[Cilindros totales pendientes]]&gt;0,1,""),"")</f>
        <v/>
      </c>
    </row>
    <row r="852" spans="22:22" x14ac:dyDescent="0.25">
      <c r="V852" s="1" t="str">
        <f>+IFERROR(IF(Tabla3[[#This Row],[Cilindros totales pendientes]]&gt;0,1,""),"")</f>
        <v/>
      </c>
    </row>
    <row r="853" spans="22:22" x14ac:dyDescent="0.25">
      <c r="V853" s="1" t="str">
        <f>+IFERROR(IF(Tabla3[[#This Row],[Cilindros totales pendientes]]&gt;0,1,""),"")</f>
        <v/>
      </c>
    </row>
    <row r="854" spans="22:22" x14ac:dyDescent="0.25">
      <c r="V854" s="1" t="str">
        <f>+IFERROR(IF(Tabla3[[#This Row],[Cilindros totales pendientes]]&gt;0,1,""),"")</f>
        <v/>
      </c>
    </row>
    <row r="855" spans="22:22" x14ac:dyDescent="0.25">
      <c r="V855" s="1" t="str">
        <f>+IFERROR(IF(Tabla3[[#This Row],[Cilindros totales pendientes]]&gt;0,1,""),"")</f>
        <v/>
      </c>
    </row>
    <row r="856" spans="22:22" x14ac:dyDescent="0.25">
      <c r="V856" s="1" t="str">
        <f>+IFERROR(IF(Tabla3[[#This Row],[Cilindros totales pendientes]]&gt;0,1,""),"")</f>
        <v/>
      </c>
    </row>
    <row r="857" spans="22:22" x14ac:dyDescent="0.25">
      <c r="V857" s="1" t="str">
        <f>+IFERROR(IF(Tabla3[[#This Row],[Cilindros totales pendientes]]&gt;0,1,""),"")</f>
        <v/>
      </c>
    </row>
    <row r="858" spans="22:22" x14ac:dyDescent="0.25">
      <c r="V858" s="1" t="str">
        <f>+IFERROR(IF(Tabla3[[#This Row],[Cilindros totales pendientes]]&gt;0,1,""),"")</f>
        <v/>
      </c>
    </row>
    <row r="859" spans="22:22" x14ac:dyDescent="0.25">
      <c r="V859" s="1" t="str">
        <f>+IFERROR(IF(Tabla3[[#This Row],[Cilindros totales pendientes]]&gt;0,1,""),"")</f>
        <v/>
      </c>
    </row>
    <row r="860" spans="22:22" x14ac:dyDescent="0.25">
      <c r="V860" s="1" t="str">
        <f>+IFERROR(IF(Tabla3[[#This Row],[Cilindros totales pendientes]]&gt;0,1,""),"")</f>
        <v/>
      </c>
    </row>
    <row r="861" spans="22:22" x14ac:dyDescent="0.25">
      <c r="V861" s="1" t="str">
        <f>+IFERROR(IF(Tabla3[[#This Row],[Cilindros totales pendientes]]&gt;0,1,""),"")</f>
        <v/>
      </c>
    </row>
    <row r="862" spans="22:22" x14ac:dyDescent="0.25">
      <c r="V862" s="1" t="str">
        <f>+IFERROR(IF(Tabla3[[#This Row],[Cilindros totales pendientes]]&gt;0,1,""),"")</f>
        <v/>
      </c>
    </row>
    <row r="863" spans="22:22" x14ac:dyDescent="0.25">
      <c r="V863" s="1" t="str">
        <f>+IFERROR(IF(Tabla3[[#This Row],[Cilindros totales pendientes]]&gt;0,1,""),"")</f>
        <v/>
      </c>
    </row>
    <row r="864" spans="22:22" x14ac:dyDescent="0.25">
      <c r="V864" s="1" t="str">
        <f>+IFERROR(IF(Tabla3[[#This Row],[Cilindros totales pendientes]]&gt;0,1,""),"")</f>
        <v/>
      </c>
    </row>
    <row r="865" spans="22:22" x14ac:dyDescent="0.25">
      <c r="V865" s="1" t="str">
        <f>+IFERROR(IF(Tabla3[[#This Row],[Cilindros totales pendientes]]&gt;0,1,""),"")</f>
        <v/>
      </c>
    </row>
    <row r="866" spans="22:22" x14ac:dyDescent="0.25">
      <c r="V866" s="1" t="str">
        <f>+IFERROR(IF(Tabla3[[#This Row],[Cilindros totales pendientes]]&gt;0,1,""),"")</f>
        <v/>
      </c>
    </row>
    <row r="867" spans="22:22" x14ac:dyDescent="0.25">
      <c r="V867" s="1" t="str">
        <f>+IFERROR(IF(Tabla3[[#This Row],[Cilindros totales pendientes]]&gt;0,1,""),"")</f>
        <v/>
      </c>
    </row>
    <row r="868" spans="22:22" x14ac:dyDescent="0.25">
      <c r="V868" s="1" t="str">
        <f>+IFERROR(IF(Tabla3[[#This Row],[Cilindros totales pendientes]]&gt;0,1,""),"")</f>
        <v/>
      </c>
    </row>
    <row r="869" spans="22:22" x14ac:dyDescent="0.25">
      <c r="V869" s="1" t="str">
        <f>+IFERROR(IF(Tabla3[[#This Row],[Cilindros totales pendientes]]&gt;0,1,""),"")</f>
        <v/>
      </c>
    </row>
    <row r="870" spans="22:22" x14ac:dyDescent="0.25">
      <c r="V870" s="1" t="str">
        <f>+IFERROR(IF(Tabla3[[#This Row],[Cilindros totales pendientes]]&gt;0,1,""),"")</f>
        <v/>
      </c>
    </row>
    <row r="871" spans="22:22" x14ac:dyDescent="0.25">
      <c r="V871" s="1" t="str">
        <f>+IFERROR(IF(Tabla3[[#This Row],[Cilindros totales pendientes]]&gt;0,1,""),"")</f>
        <v/>
      </c>
    </row>
    <row r="872" spans="22:22" x14ac:dyDescent="0.25">
      <c r="V872" s="1" t="str">
        <f>+IFERROR(IF(Tabla3[[#This Row],[Cilindros totales pendientes]]&gt;0,1,""),"")</f>
        <v/>
      </c>
    </row>
    <row r="873" spans="22:22" x14ac:dyDescent="0.25">
      <c r="V873" s="1" t="str">
        <f>+IFERROR(IF(Tabla3[[#This Row],[Cilindros totales pendientes]]&gt;0,1,""),"")</f>
        <v/>
      </c>
    </row>
    <row r="874" spans="22:22" x14ac:dyDescent="0.25">
      <c r="V874" s="1" t="str">
        <f>+IFERROR(IF(Tabla3[[#This Row],[Cilindros totales pendientes]]&gt;0,1,""),"")</f>
        <v/>
      </c>
    </row>
    <row r="875" spans="22:22" x14ac:dyDescent="0.25">
      <c r="V875" s="1" t="str">
        <f>+IFERROR(IF(Tabla3[[#This Row],[Cilindros totales pendientes]]&gt;0,1,""),"")</f>
        <v/>
      </c>
    </row>
    <row r="876" spans="22:22" x14ac:dyDescent="0.25">
      <c r="V876" s="1" t="str">
        <f>+IFERROR(IF(Tabla3[[#This Row],[Cilindros totales pendientes]]&gt;0,1,""),"")</f>
        <v/>
      </c>
    </row>
    <row r="877" spans="22:22" x14ac:dyDescent="0.25">
      <c r="V877" s="1" t="str">
        <f>+IFERROR(IF(Tabla3[[#This Row],[Cilindros totales pendientes]]&gt;0,1,""),"")</f>
        <v/>
      </c>
    </row>
    <row r="878" spans="22:22" x14ac:dyDescent="0.25">
      <c r="V878" s="1" t="str">
        <f>+IFERROR(IF(Tabla3[[#This Row],[Cilindros totales pendientes]]&gt;0,1,""),"")</f>
        <v/>
      </c>
    </row>
    <row r="879" spans="22:22" x14ac:dyDescent="0.25">
      <c r="V879" s="1" t="str">
        <f>+IFERROR(IF(Tabla3[[#This Row],[Cilindros totales pendientes]]&gt;0,1,""),"")</f>
        <v/>
      </c>
    </row>
    <row r="880" spans="22:22" x14ac:dyDescent="0.25">
      <c r="V880" s="1" t="str">
        <f>+IFERROR(IF(Tabla3[[#This Row],[Cilindros totales pendientes]]&gt;0,1,""),"")</f>
        <v/>
      </c>
    </row>
    <row r="881" spans="22:22" x14ac:dyDescent="0.25">
      <c r="V881" s="1" t="str">
        <f>+IFERROR(IF(Tabla3[[#This Row],[Cilindros totales pendientes]]&gt;0,1,""),"")</f>
        <v/>
      </c>
    </row>
    <row r="882" spans="22:22" x14ac:dyDescent="0.25">
      <c r="V882" s="1" t="str">
        <f>+IFERROR(IF(Tabla3[[#This Row],[Cilindros totales pendientes]]&gt;0,1,""),"")</f>
        <v/>
      </c>
    </row>
    <row r="883" spans="22:22" x14ac:dyDescent="0.25">
      <c r="V883" s="1" t="str">
        <f>+IFERROR(IF(Tabla3[[#This Row],[Cilindros totales pendientes]]&gt;0,1,""),"")</f>
        <v/>
      </c>
    </row>
    <row r="884" spans="22:22" x14ac:dyDescent="0.25">
      <c r="V884" s="1" t="str">
        <f>+IFERROR(IF(Tabla3[[#This Row],[Cilindros totales pendientes]]&gt;0,1,""),"")</f>
        <v/>
      </c>
    </row>
    <row r="885" spans="22:22" x14ac:dyDescent="0.25">
      <c r="V885" s="1" t="str">
        <f>+IFERROR(IF(Tabla3[[#This Row],[Cilindros totales pendientes]]&gt;0,1,""),"")</f>
        <v/>
      </c>
    </row>
    <row r="886" spans="22:22" x14ac:dyDescent="0.25">
      <c r="V886" s="1" t="str">
        <f>+IFERROR(IF(Tabla3[[#This Row],[Cilindros totales pendientes]]&gt;0,1,""),"")</f>
        <v/>
      </c>
    </row>
    <row r="887" spans="22:22" x14ac:dyDescent="0.25">
      <c r="V887" s="1" t="str">
        <f>+IFERROR(IF(Tabla3[[#This Row],[Cilindros totales pendientes]]&gt;0,1,""),"")</f>
        <v/>
      </c>
    </row>
    <row r="888" spans="22:22" x14ac:dyDescent="0.25">
      <c r="V888" s="1" t="str">
        <f>+IFERROR(IF(Tabla3[[#This Row],[Cilindros totales pendientes]]&gt;0,1,""),"")</f>
        <v/>
      </c>
    </row>
    <row r="889" spans="22:22" x14ac:dyDescent="0.25">
      <c r="V889" s="1" t="str">
        <f>+IFERROR(IF(Tabla3[[#This Row],[Cilindros totales pendientes]]&gt;0,1,""),"")</f>
        <v/>
      </c>
    </row>
    <row r="890" spans="22:22" x14ac:dyDescent="0.25">
      <c r="V890" s="1" t="str">
        <f>+IFERROR(IF(Tabla3[[#This Row],[Cilindros totales pendientes]]&gt;0,1,""),"")</f>
        <v/>
      </c>
    </row>
    <row r="891" spans="22:22" x14ac:dyDescent="0.25">
      <c r="V891" s="1" t="str">
        <f>+IFERROR(IF(Tabla3[[#This Row],[Cilindros totales pendientes]]&gt;0,1,""),"")</f>
        <v/>
      </c>
    </row>
    <row r="892" spans="22:22" x14ac:dyDescent="0.25">
      <c r="V892" s="1" t="str">
        <f>+IFERROR(IF(Tabla3[[#This Row],[Cilindros totales pendientes]]&gt;0,1,""),"")</f>
        <v/>
      </c>
    </row>
    <row r="893" spans="22:22" x14ac:dyDescent="0.25">
      <c r="V893" s="1" t="str">
        <f>+IFERROR(IF(Tabla3[[#This Row],[Cilindros totales pendientes]]&gt;0,1,""),"")</f>
        <v/>
      </c>
    </row>
    <row r="894" spans="22:22" x14ac:dyDescent="0.25">
      <c r="V894" s="1" t="str">
        <f>+IFERROR(IF(Tabla3[[#This Row],[Cilindros totales pendientes]]&gt;0,1,""),"")</f>
        <v/>
      </c>
    </row>
    <row r="895" spans="22:22" x14ac:dyDescent="0.25">
      <c r="V895" s="1" t="str">
        <f>+IFERROR(IF(Tabla3[[#This Row],[Cilindros totales pendientes]]&gt;0,1,""),"")</f>
        <v/>
      </c>
    </row>
    <row r="896" spans="22:22" x14ac:dyDescent="0.25">
      <c r="V896" s="1" t="str">
        <f>+IFERROR(IF(Tabla3[[#This Row],[Cilindros totales pendientes]]&gt;0,1,""),"")</f>
        <v/>
      </c>
    </row>
    <row r="897" spans="22:22" x14ac:dyDescent="0.25">
      <c r="V897" s="1" t="str">
        <f>+IFERROR(IF(Tabla3[[#This Row],[Cilindros totales pendientes]]&gt;0,1,""),"")</f>
        <v/>
      </c>
    </row>
    <row r="898" spans="22:22" x14ac:dyDescent="0.25">
      <c r="V898" s="1" t="str">
        <f>+IFERROR(IF(Tabla3[[#This Row],[Cilindros totales pendientes]]&gt;0,1,""),"")</f>
        <v/>
      </c>
    </row>
    <row r="899" spans="22:22" x14ac:dyDescent="0.25">
      <c r="V899" s="1" t="str">
        <f>+IFERROR(IF(Tabla3[[#This Row],[Cilindros totales pendientes]]&gt;0,1,""),"")</f>
        <v/>
      </c>
    </row>
    <row r="900" spans="22:22" x14ac:dyDescent="0.25">
      <c r="V900" s="1" t="str">
        <f>+IFERROR(IF(Tabla3[[#This Row],[Cilindros totales pendientes]]&gt;0,1,""),"")</f>
        <v/>
      </c>
    </row>
    <row r="901" spans="22:22" x14ac:dyDescent="0.25">
      <c r="V901" s="1" t="str">
        <f>+IFERROR(IF(Tabla3[[#This Row],[Cilindros totales pendientes]]&gt;0,1,""),"")</f>
        <v/>
      </c>
    </row>
    <row r="902" spans="22:22" x14ac:dyDescent="0.25">
      <c r="V902" s="1" t="str">
        <f>+IFERROR(IF(Tabla3[[#This Row],[Cilindros totales pendientes]]&gt;0,1,""),"")</f>
        <v/>
      </c>
    </row>
    <row r="903" spans="22:22" x14ac:dyDescent="0.25">
      <c r="V903" s="1" t="str">
        <f>+IFERROR(IF(Tabla3[[#This Row],[Cilindros totales pendientes]]&gt;0,1,""),"")</f>
        <v/>
      </c>
    </row>
    <row r="904" spans="22:22" x14ac:dyDescent="0.25">
      <c r="V904" s="1" t="str">
        <f>+IFERROR(IF(Tabla3[[#This Row],[Cilindros totales pendientes]]&gt;0,1,""),"")</f>
        <v/>
      </c>
    </row>
    <row r="905" spans="22:22" x14ac:dyDescent="0.25">
      <c r="V905" s="1" t="str">
        <f>+IFERROR(IF(Tabla3[[#This Row],[Cilindros totales pendientes]]&gt;0,1,""),"")</f>
        <v/>
      </c>
    </row>
    <row r="906" spans="22:22" x14ac:dyDescent="0.25">
      <c r="V906" s="1" t="str">
        <f>+IFERROR(IF(Tabla3[[#This Row],[Cilindros totales pendientes]]&gt;0,1,""),"")</f>
        <v/>
      </c>
    </row>
    <row r="907" spans="22:22" x14ac:dyDescent="0.25">
      <c r="V907" s="1" t="str">
        <f>+IFERROR(IF(Tabla3[[#This Row],[Cilindros totales pendientes]]&gt;0,1,""),"")</f>
        <v/>
      </c>
    </row>
    <row r="908" spans="22:22" x14ac:dyDescent="0.25">
      <c r="V908" s="1" t="str">
        <f>+IFERROR(IF(Tabla3[[#This Row],[Cilindros totales pendientes]]&gt;0,1,""),"")</f>
        <v/>
      </c>
    </row>
    <row r="909" spans="22:22" x14ac:dyDescent="0.25">
      <c r="V909" s="1" t="str">
        <f>+IFERROR(IF(Tabla3[[#This Row],[Cilindros totales pendientes]]&gt;0,1,""),"")</f>
        <v/>
      </c>
    </row>
    <row r="910" spans="22:22" x14ac:dyDescent="0.25">
      <c r="V910" s="1" t="str">
        <f>+IFERROR(IF(Tabla3[[#This Row],[Cilindros totales pendientes]]&gt;0,1,""),"")</f>
        <v/>
      </c>
    </row>
    <row r="911" spans="22:22" x14ac:dyDescent="0.25">
      <c r="V911" s="1" t="str">
        <f>+IFERROR(IF(Tabla3[[#This Row],[Cilindros totales pendientes]]&gt;0,1,""),"")</f>
        <v/>
      </c>
    </row>
    <row r="912" spans="22:22" x14ac:dyDescent="0.25">
      <c r="V912" s="1" t="str">
        <f>+IFERROR(IF(Tabla3[[#This Row],[Cilindros totales pendientes]]&gt;0,1,""),"")</f>
        <v/>
      </c>
    </row>
    <row r="913" spans="22:22" x14ac:dyDescent="0.25">
      <c r="V913" s="1" t="str">
        <f>+IFERROR(IF(Tabla3[[#This Row],[Cilindros totales pendientes]]&gt;0,1,""),"")</f>
        <v/>
      </c>
    </row>
    <row r="914" spans="22:22" x14ac:dyDescent="0.25">
      <c r="V914" s="1" t="str">
        <f>+IFERROR(IF(Tabla3[[#This Row],[Cilindros totales pendientes]]&gt;0,1,""),"")</f>
        <v/>
      </c>
    </row>
    <row r="915" spans="22:22" x14ac:dyDescent="0.25">
      <c r="V915" s="1" t="str">
        <f>+IFERROR(IF(Tabla3[[#This Row],[Cilindros totales pendientes]]&gt;0,1,""),"")</f>
        <v/>
      </c>
    </row>
    <row r="916" spans="22:22" x14ac:dyDescent="0.25">
      <c r="V916" s="1" t="str">
        <f>+IFERROR(IF(Tabla3[[#This Row],[Cilindros totales pendientes]]&gt;0,1,""),"")</f>
        <v/>
      </c>
    </row>
    <row r="917" spans="22:22" x14ac:dyDescent="0.25">
      <c r="V917" s="1" t="str">
        <f>+IFERROR(IF(Tabla3[[#This Row],[Cilindros totales pendientes]]&gt;0,1,""),"")</f>
        <v/>
      </c>
    </row>
    <row r="918" spans="22:22" x14ac:dyDescent="0.25">
      <c r="V918" s="1" t="str">
        <f>+IFERROR(IF(Tabla3[[#This Row],[Cilindros totales pendientes]]&gt;0,1,""),"")</f>
        <v/>
      </c>
    </row>
    <row r="919" spans="22:22" x14ac:dyDescent="0.25">
      <c r="V919" s="1" t="str">
        <f>+IFERROR(IF(Tabla3[[#This Row],[Cilindros totales pendientes]]&gt;0,1,""),"")</f>
        <v/>
      </c>
    </row>
    <row r="920" spans="22:22" x14ac:dyDescent="0.25">
      <c r="V920" s="1" t="str">
        <f>+IFERROR(IF(Tabla3[[#This Row],[Cilindros totales pendientes]]&gt;0,1,""),"")</f>
        <v/>
      </c>
    </row>
    <row r="921" spans="22:22" x14ac:dyDescent="0.25">
      <c r="V921" s="1" t="str">
        <f>+IFERROR(IF(Tabla3[[#This Row],[Cilindros totales pendientes]]&gt;0,1,""),"")</f>
        <v/>
      </c>
    </row>
    <row r="922" spans="22:22" x14ac:dyDescent="0.25">
      <c r="V922" s="1" t="str">
        <f>+IFERROR(IF(Tabla3[[#This Row],[Cilindros totales pendientes]]&gt;0,1,""),"")</f>
        <v/>
      </c>
    </row>
    <row r="923" spans="22:22" x14ac:dyDescent="0.25">
      <c r="V923" s="1" t="str">
        <f>+IFERROR(IF(Tabla3[[#This Row],[Cilindros totales pendientes]]&gt;0,1,""),"")</f>
        <v/>
      </c>
    </row>
    <row r="924" spans="22:22" x14ac:dyDescent="0.25">
      <c r="V924" s="1" t="str">
        <f>+IFERROR(IF(Tabla3[[#This Row],[Cilindros totales pendientes]]&gt;0,1,""),"")</f>
        <v/>
      </c>
    </row>
    <row r="925" spans="22:22" x14ac:dyDescent="0.25">
      <c r="V925" s="1" t="str">
        <f>+IFERROR(IF(Tabla3[[#This Row],[Cilindros totales pendientes]]&gt;0,1,""),"")</f>
        <v/>
      </c>
    </row>
    <row r="926" spans="22:22" x14ac:dyDescent="0.25">
      <c r="V926" s="1" t="str">
        <f>+IFERROR(IF(Tabla3[[#This Row],[Cilindros totales pendientes]]&gt;0,1,""),"")</f>
        <v/>
      </c>
    </row>
    <row r="927" spans="22:22" x14ac:dyDescent="0.25">
      <c r="V927" s="1" t="str">
        <f>+IFERROR(IF(Tabla3[[#This Row],[Cilindros totales pendientes]]&gt;0,1,""),"")</f>
        <v/>
      </c>
    </row>
    <row r="928" spans="22:22" x14ac:dyDescent="0.25">
      <c r="V928" s="1" t="str">
        <f>+IFERROR(IF(Tabla3[[#This Row],[Cilindros totales pendientes]]&gt;0,1,""),"")</f>
        <v/>
      </c>
    </row>
    <row r="929" spans="22:22" x14ac:dyDescent="0.25">
      <c r="V929" s="1" t="str">
        <f>+IFERROR(IF(Tabla3[[#This Row],[Cilindros totales pendientes]]&gt;0,1,""),"")</f>
        <v/>
      </c>
    </row>
    <row r="930" spans="22:22" x14ac:dyDescent="0.25">
      <c r="V930" s="1" t="str">
        <f>+IFERROR(IF(Tabla3[[#This Row],[Cilindros totales pendientes]]&gt;0,1,""),"")</f>
        <v/>
      </c>
    </row>
    <row r="931" spans="22:22" x14ac:dyDescent="0.25">
      <c r="V931" s="1" t="str">
        <f>+IFERROR(IF(Tabla3[[#This Row],[Cilindros totales pendientes]]&gt;0,1,""),"")</f>
        <v/>
      </c>
    </row>
    <row r="932" spans="22:22" x14ac:dyDescent="0.25">
      <c r="V932" s="1" t="str">
        <f>+IFERROR(IF(Tabla3[[#This Row],[Cilindros totales pendientes]]&gt;0,1,""),"")</f>
        <v/>
      </c>
    </row>
    <row r="933" spans="22:22" x14ac:dyDescent="0.25">
      <c r="V933" s="1" t="str">
        <f>+IFERROR(IF(Tabla3[[#This Row],[Cilindros totales pendientes]]&gt;0,1,""),"")</f>
        <v/>
      </c>
    </row>
    <row r="934" spans="22:22" x14ac:dyDescent="0.25">
      <c r="V934" s="1" t="str">
        <f>+IFERROR(IF(Tabla3[[#This Row],[Cilindros totales pendientes]]&gt;0,1,""),"")</f>
        <v/>
      </c>
    </row>
    <row r="935" spans="22:22" x14ac:dyDescent="0.25">
      <c r="V935" s="1" t="str">
        <f>+IFERROR(IF(Tabla3[[#This Row],[Cilindros totales pendientes]]&gt;0,1,""),"")</f>
        <v/>
      </c>
    </row>
    <row r="936" spans="22:22" x14ac:dyDescent="0.25">
      <c r="V936" s="1" t="str">
        <f>+IFERROR(IF(Tabla3[[#This Row],[Cilindros totales pendientes]]&gt;0,1,""),"")</f>
        <v/>
      </c>
    </row>
    <row r="937" spans="22:22" x14ac:dyDescent="0.25">
      <c r="V937" s="1" t="str">
        <f>+IFERROR(IF(Tabla3[[#This Row],[Cilindros totales pendientes]]&gt;0,1,""),"")</f>
        <v/>
      </c>
    </row>
    <row r="938" spans="22:22" x14ac:dyDescent="0.25">
      <c r="V938" s="1" t="str">
        <f>+IFERROR(IF(Tabla3[[#This Row],[Cilindros totales pendientes]]&gt;0,1,""),"")</f>
        <v/>
      </c>
    </row>
    <row r="939" spans="22:22" x14ac:dyDescent="0.25">
      <c r="V939" s="1" t="str">
        <f>+IFERROR(IF(Tabla3[[#This Row],[Cilindros totales pendientes]]&gt;0,1,""),"")</f>
        <v/>
      </c>
    </row>
    <row r="940" spans="22:22" x14ac:dyDescent="0.25">
      <c r="V940" s="1" t="str">
        <f>+IFERROR(IF(Tabla3[[#This Row],[Cilindros totales pendientes]]&gt;0,1,""),"")</f>
        <v/>
      </c>
    </row>
    <row r="941" spans="22:22" x14ac:dyDescent="0.25">
      <c r="V941" s="1" t="str">
        <f>+IFERROR(IF(Tabla3[[#This Row],[Cilindros totales pendientes]]&gt;0,1,""),"")</f>
        <v/>
      </c>
    </row>
    <row r="942" spans="22:22" x14ac:dyDescent="0.25">
      <c r="V942" s="1" t="str">
        <f>+IFERROR(IF(Tabla3[[#This Row],[Cilindros totales pendientes]]&gt;0,1,""),"")</f>
        <v/>
      </c>
    </row>
    <row r="943" spans="22:22" x14ac:dyDescent="0.25">
      <c r="V943" s="1" t="str">
        <f>+IFERROR(IF(Tabla3[[#This Row],[Cilindros totales pendientes]]&gt;0,1,""),"")</f>
        <v/>
      </c>
    </row>
    <row r="944" spans="22:22" x14ac:dyDescent="0.25">
      <c r="V944" s="1" t="str">
        <f>+IFERROR(IF(Tabla3[[#This Row],[Cilindros totales pendientes]]&gt;0,1,""),"")</f>
        <v/>
      </c>
    </row>
    <row r="945" spans="22:22" x14ac:dyDescent="0.25">
      <c r="V945" s="1" t="str">
        <f>+IFERROR(IF(Tabla3[[#This Row],[Cilindros totales pendientes]]&gt;0,1,""),"")</f>
        <v/>
      </c>
    </row>
    <row r="946" spans="22:22" x14ac:dyDescent="0.25">
      <c r="V946" s="1" t="str">
        <f>+IFERROR(IF(Tabla3[[#This Row],[Cilindros totales pendientes]]&gt;0,1,""),"")</f>
        <v/>
      </c>
    </row>
    <row r="947" spans="22:22" x14ac:dyDescent="0.25">
      <c r="V947" s="1" t="str">
        <f>+IFERROR(IF(Tabla3[[#This Row],[Cilindros totales pendientes]]&gt;0,1,""),"")</f>
        <v/>
      </c>
    </row>
    <row r="948" spans="22:22" x14ac:dyDescent="0.25">
      <c r="V948" s="1" t="str">
        <f>+IFERROR(IF(Tabla3[[#This Row],[Cilindros totales pendientes]]&gt;0,1,""),"")</f>
        <v/>
      </c>
    </row>
    <row r="949" spans="22:22" x14ac:dyDescent="0.25">
      <c r="V949" s="1" t="str">
        <f>+IFERROR(IF(Tabla3[[#This Row],[Cilindros totales pendientes]]&gt;0,1,""),"")</f>
        <v/>
      </c>
    </row>
    <row r="950" spans="22:22" x14ac:dyDescent="0.25">
      <c r="V950" s="1" t="str">
        <f>+IFERROR(IF(Tabla3[[#This Row],[Cilindros totales pendientes]]&gt;0,1,""),"")</f>
        <v/>
      </c>
    </row>
    <row r="951" spans="22:22" x14ac:dyDescent="0.25">
      <c r="V951" s="1" t="str">
        <f>+IFERROR(IF(Tabla3[[#This Row],[Cilindros totales pendientes]]&gt;0,1,""),"")</f>
        <v/>
      </c>
    </row>
    <row r="952" spans="22:22" x14ac:dyDescent="0.25">
      <c r="V952" s="1" t="str">
        <f>+IFERROR(IF(Tabla3[[#This Row],[Cilindros totales pendientes]]&gt;0,1,""),"")</f>
        <v/>
      </c>
    </row>
    <row r="953" spans="22:22" x14ac:dyDescent="0.25">
      <c r="V953" s="1" t="str">
        <f>+IFERROR(IF(Tabla3[[#This Row],[Cilindros totales pendientes]]&gt;0,1,""),"")</f>
        <v/>
      </c>
    </row>
    <row r="954" spans="22:22" x14ac:dyDescent="0.25">
      <c r="V954" s="1" t="str">
        <f>+IFERROR(IF(Tabla3[[#This Row],[Cilindros totales pendientes]]&gt;0,1,""),"")</f>
        <v/>
      </c>
    </row>
    <row r="955" spans="22:22" x14ac:dyDescent="0.25">
      <c r="V955" s="1" t="str">
        <f>+IFERROR(IF(Tabla3[[#This Row],[Cilindros totales pendientes]]&gt;0,1,""),"")</f>
        <v/>
      </c>
    </row>
    <row r="956" spans="22:22" x14ac:dyDescent="0.25">
      <c r="V956" s="1" t="str">
        <f>+IFERROR(IF(Tabla3[[#This Row],[Cilindros totales pendientes]]&gt;0,1,""),"")</f>
        <v/>
      </c>
    </row>
    <row r="957" spans="22:22" x14ac:dyDescent="0.25">
      <c r="V957" s="1" t="str">
        <f>+IFERROR(IF(Tabla3[[#This Row],[Cilindros totales pendientes]]&gt;0,1,""),"")</f>
        <v/>
      </c>
    </row>
    <row r="958" spans="22:22" x14ac:dyDescent="0.25">
      <c r="V958" s="1" t="str">
        <f>+IFERROR(IF(Tabla3[[#This Row],[Cilindros totales pendientes]]&gt;0,1,""),"")</f>
        <v/>
      </c>
    </row>
    <row r="959" spans="22:22" x14ac:dyDescent="0.25">
      <c r="V959" s="1" t="str">
        <f>+IFERROR(IF(Tabla3[[#This Row],[Cilindros totales pendientes]]&gt;0,1,""),"")</f>
        <v/>
      </c>
    </row>
    <row r="960" spans="22:22" x14ac:dyDescent="0.25">
      <c r="V960" s="1" t="str">
        <f>+IFERROR(IF(Tabla3[[#This Row],[Cilindros totales pendientes]]&gt;0,1,""),"")</f>
        <v/>
      </c>
    </row>
    <row r="961" spans="22:22" x14ac:dyDescent="0.25">
      <c r="V961" s="1" t="str">
        <f>+IFERROR(IF(Tabla3[[#This Row],[Cilindros totales pendientes]]&gt;0,1,""),"")</f>
        <v/>
      </c>
    </row>
    <row r="962" spans="22:22" x14ac:dyDescent="0.25">
      <c r="V962" s="1" t="str">
        <f>+IFERROR(IF(Tabla3[[#This Row],[Cilindros totales pendientes]]&gt;0,1,""),"")</f>
        <v/>
      </c>
    </row>
    <row r="963" spans="22:22" x14ac:dyDescent="0.25">
      <c r="V963" s="1" t="str">
        <f>+IFERROR(IF(Tabla3[[#This Row],[Cilindros totales pendientes]]&gt;0,1,""),"")</f>
        <v/>
      </c>
    </row>
    <row r="964" spans="22:22" x14ac:dyDescent="0.25">
      <c r="V964" s="1" t="str">
        <f>+IFERROR(IF(Tabla3[[#This Row],[Cilindros totales pendientes]]&gt;0,1,""),"")</f>
        <v/>
      </c>
    </row>
    <row r="965" spans="22:22" x14ac:dyDescent="0.25">
      <c r="V965" s="1" t="str">
        <f>+IFERROR(IF(Tabla3[[#This Row],[Cilindros totales pendientes]]&gt;0,1,""),"")</f>
        <v/>
      </c>
    </row>
    <row r="966" spans="22:22" x14ac:dyDescent="0.25">
      <c r="V966" s="1" t="str">
        <f>+IFERROR(IF(Tabla3[[#This Row],[Cilindros totales pendientes]]&gt;0,1,""),"")</f>
        <v/>
      </c>
    </row>
    <row r="967" spans="22:22" x14ac:dyDescent="0.25">
      <c r="V967" s="1" t="str">
        <f>+IFERROR(IF(Tabla3[[#This Row],[Cilindros totales pendientes]]&gt;0,1,""),"")</f>
        <v/>
      </c>
    </row>
    <row r="968" spans="22:22" x14ac:dyDescent="0.25">
      <c r="V968" s="1" t="str">
        <f>+IFERROR(IF(Tabla3[[#This Row],[Cilindros totales pendientes]]&gt;0,1,""),"")</f>
        <v/>
      </c>
    </row>
    <row r="969" spans="22:22" x14ac:dyDescent="0.25">
      <c r="V969" s="1" t="str">
        <f>+IFERROR(IF(Tabla3[[#This Row],[Cilindros totales pendientes]]&gt;0,1,""),"")</f>
        <v/>
      </c>
    </row>
    <row r="970" spans="22:22" x14ac:dyDescent="0.25">
      <c r="V970" s="1" t="str">
        <f>+IFERROR(IF(Tabla3[[#This Row],[Cilindros totales pendientes]]&gt;0,1,""),"")</f>
        <v/>
      </c>
    </row>
    <row r="971" spans="22:22" x14ac:dyDescent="0.25">
      <c r="V971" s="1" t="str">
        <f>+IFERROR(IF(Tabla3[[#This Row],[Cilindros totales pendientes]]&gt;0,1,""),"")</f>
        <v/>
      </c>
    </row>
    <row r="972" spans="22:22" x14ac:dyDescent="0.25">
      <c r="V972" s="1" t="str">
        <f>+IFERROR(IF(Tabla3[[#This Row],[Cilindros totales pendientes]]&gt;0,1,""),"")</f>
        <v/>
      </c>
    </row>
    <row r="973" spans="22:22" x14ac:dyDescent="0.25">
      <c r="V973" s="1" t="str">
        <f>+IFERROR(IF(Tabla3[[#This Row],[Cilindros totales pendientes]]&gt;0,1,""),"")</f>
        <v/>
      </c>
    </row>
    <row r="974" spans="22:22" x14ac:dyDescent="0.25">
      <c r="V974" s="1" t="str">
        <f>+IFERROR(IF(Tabla3[[#This Row],[Cilindros totales pendientes]]&gt;0,1,""),"")</f>
        <v/>
      </c>
    </row>
    <row r="975" spans="22:22" x14ac:dyDescent="0.25">
      <c r="V975" s="1" t="str">
        <f>+IFERROR(IF(Tabla3[[#This Row],[Cilindros totales pendientes]]&gt;0,1,""),"")</f>
        <v/>
      </c>
    </row>
    <row r="976" spans="22:22" x14ac:dyDescent="0.25">
      <c r="V976" s="1" t="str">
        <f>+IFERROR(IF(Tabla3[[#This Row],[Cilindros totales pendientes]]&gt;0,1,""),"")</f>
        <v/>
      </c>
    </row>
    <row r="977" spans="22:22" x14ac:dyDescent="0.25">
      <c r="V977" s="1" t="str">
        <f>+IFERROR(IF(Tabla3[[#This Row],[Cilindros totales pendientes]]&gt;0,1,""),"")</f>
        <v/>
      </c>
    </row>
    <row r="978" spans="22:22" x14ac:dyDescent="0.25">
      <c r="V978" s="1" t="str">
        <f>+IFERROR(IF(Tabla3[[#This Row],[Cilindros totales pendientes]]&gt;0,1,""),"")</f>
        <v/>
      </c>
    </row>
    <row r="979" spans="22:22" x14ac:dyDescent="0.25">
      <c r="V979" s="1" t="str">
        <f>+IFERROR(IF(Tabla3[[#This Row],[Cilindros totales pendientes]]&gt;0,1,""),"")</f>
        <v/>
      </c>
    </row>
    <row r="980" spans="22:22" x14ac:dyDescent="0.25">
      <c r="V980" s="1" t="str">
        <f>+IFERROR(IF(Tabla3[[#This Row],[Cilindros totales pendientes]]&gt;0,1,""),"")</f>
        <v/>
      </c>
    </row>
    <row r="981" spans="22:22" x14ac:dyDescent="0.25">
      <c r="V981" s="1" t="str">
        <f>+IFERROR(IF(Tabla3[[#This Row],[Cilindros totales pendientes]]&gt;0,1,""),"")</f>
        <v/>
      </c>
    </row>
    <row r="982" spans="22:22" x14ac:dyDescent="0.25">
      <c r="V982" s="1" t="str">
        <f>+IFERROR(IF(Tabla3[[#This Row],[Cilindros totales pendientes]]&gt;0,1,""),"")</f>
        <v/>
      </c>
    </row>
    <row r="983" spans="22:22" x14ac:dyDescent="0.25">
      <c r="V983" s="1" t="str">
        <f>+IFERROR(IF(Tabla3[[#This Row],[Cilindros totales pendientes]]&gt;0,1,""),"")</f>
        <v/>
      </c>
    </row>
    <row r="984" spans="22:22" x14ac:dyDescent="0.25">
      <c r="V984" s="1" t="str">
        <f>+IFERROR(IF(Tabla3[[#This Row],[Cilindros totales pendientes]]&gt;0,1,""),"")</f>
        <v/>
      </c>
    </row>
    <row r="985" spans="22:22" x14ac:dyDescent="0.25">
      <c r="V985" s="1" t="str">
        <f>+IFERROR(IF(Tabla3[[#This Row],[Cilindros totales pendientes]]&gt;0,1,""),"")</f>
        <v/>
      </c>
    </row>
    <row r="986" spans="22:22" x14ac:dyDescent="0.25">
      <c r="V986" s="1" t="str">
        <f>+IFERROR(IF(Tabla3[[#This Row],[Cilindros totales pendientes]]&gt;0,1,""),"")</f>
        <v/>
      </c>
    </row>
    <row r="987" spans="22:22" x14ac:dyDescent="0.25">
      <c r="V987" s="1" t="str">
        <f>+IFERROR(IF(Tabla3[[#This Row],[Cilindros totales pendientes]]&gt;0,1,""),"")</f>
        <v/>
      </c>
    </row>
    <row r="988" spans="22:22" x14ac:dyDescent="0.25">
      <c r="V988" s="1" t="str">
        <f>+IFERROR(IF(Tabla3[[#This Row],[Cilindros totales pendientes]]&gt;0,1,""),"")</f>
        <v/>
      </c>
    </row>
    <row r="989" spans="22:22" x14ac:dyDescent="0.25">
      <c r="V989" s="1" t="str">
        <f>+IFERROR(IF(Tabla3[[#This Row],[Cilindros totales pendientes]]&gt;0,1,""),"")</f>
        <v/>
      </c>
    </row>
    <row r="990" spans="22:22" x14ac:dyDescent="0.25">
      <c r="V990" s="1" t="str">
        <f>+IFERROR(IF(Tabla3[[#This Row],[Cilindros totales pendientes]]&gt;0,1,""),"")</f>
        <v/>
      </c>
    </row>
    <row r="991" spans="22:22" x14ac:dyDescent="0.25">
      <c r="V991" s="1" t="str">
        <f>+IFERROR(IF(Tabla3[[#This Row],[Cilindros totales pendientes]]&gt;0,1,""),"")</f>
        <v/>
      </c>
    </row>
    <row r="992" spans="22:22" x14ac:dyDescent="0.25">
      <c r="V992" s="1" t="str">
        <f>+IFERROR(IF(Tabla3[[#This Row],[Cilindros totales pendientes]]&gt;0,1,""),"")</f>
        <v/>
      </c>
    </row>
    <row r="993" spans="22:22" x14ac:dyDescent="0.25">
      <c r="V993" s="1" t="str">
        <f>+IFERROR(IF(Tabla3[[#This Row],[Cilindros totales pendientes]]&gt;0,1,""),"")</f>
        <v/>
      </c>
    </row>
    <row r="994" spans="22:22" x14ac:dyDescent="0.25">
      <c r="V994" s="1" t="str">
        <f>+IFERROR(IF(Tabla3[[#This Row],[Cilindros totales pendientes]]&gt;0,1,""),"")</f>
        <v/>
      </c>
    </row>
    <row r="995" spans="22:22" x14ac:dyDescent="0.25">
      <c r="V995" s="1" t="str">
        <f>+IFERROR(IF(Tabla3[[#This Row],[Cilindros totales pendientes]]&gt;0,1,""),"")</f>
        <v/>
      </c>
    </row>
    <row r="996" spans="22:22" x14ac:dyDescent="0.25">
      <c r="V996" s="1" t="str">
        <f>+IFERROR(IF(Tabla3[[#This Row],[Cilindros totales pendientes]]&gt;0,1,""),"")</f>
        <v/>
      </c>
    </row>
    <row r="997" spans="22:22" x14ac:dyDescent="0.25">
      <c r="V997" s="1" t="str">
        <f>+IFERROR(IF(Tabla3[[#This Row],[Cilindros totales pendientes]]&gt;0,1,""),"")</f>
        <v/>
      </c>
    </row>
    <row r="998" spans="22:22" x14ac:dyDescent="0.25">
      <c r="V998" s="1" t="str">
        <f>+IFERROR(IF(Tabla3[[#This Row],[Cilindros totales pendientes]]&gt;0,1,""),"")</f>
        <v/>
      </c>
    </row>
    <row r="999" spans="22:22" x14ac:dyDescent="0.25">
      <c r="V999" s="1" t="str">
        <f>+IFERROR(IF(Tabla3[[#This Row],[Cilindros totales pendientes]]&gt;0,1,""),"")</f>
        <v/>
      </c>
    </row>
    <row r="1000" spans="22:22" x14ac:dyDescent="0.25">
      <c r="V1000" s="1" t="str">
        <f>+IFERROR(IF(Tabla3[[#This Row],[Cilindros totales pendientes]]&gt;0,1,""),"")</f>
        <v/>
      </c>
    </row>
    <row r="1001" spans="22:22" x14ac:dyDescent="0.25">
      <c r="V1001" s="1" t="str">
        <f>+IFERROR(IF(Tabla3[[#This Row],[Cilindros totales pendientes]]&gt;0,1,""),"")</f>
        <v/>
      </c>
    </row>
    <row r="1002" spans="22:22" x14ac:dyDescent="0.25">
      <c r="V1002" s="1" t="str">
        <f>+IFERROR(IF(Tabla3[[#This Row],[Cilindros totales pendientes]]&gt;0,1,""),"")</f>
        <v/>
      </c>
    </row>
    <row r="1003" spans="22:22" x14ac:dyDescent="0.25">
      <c r="V1003" s="1" t="str">
        <f>+IFERROR(IF(Tabla3[[#This Row],[Cilindros totales pendientes]]&gt;0,1,""),"")</f>
        <v/>
      </c>
    </row>
    <row r="1004" spans="22:22" x14ac:dyDescent="0.25">
      <c r="V1004" s="1" t="str">
        <f>+IFERROR(IF(Tabla3[[#This Row],[Cilindros totales pendientes]]&gt;0,1,""),"")</f>
        <v/>
      </c>
    </row>
    <row r="1005" spans="22:22" x14ac:dyDescent="0.25">
      <c r="V1005" s="1" t="str">
        <f>+IFERROR(IF(Tabla3[[#This Row],[Cilindros totales pendientes]]&gt;0,1,""),"")</f>
        <v/>
      </c>
    </row>
    <row r="1006" spans="22:22" x14ac:dyDescent="0.25">
      <c r="V1006" s="1" t="str">
        <f>+IFERROR(IF(Tabla3[[#This Row],[Cilindros totales pendientes]]&gt;0,1,""),"")</f>
        <v/>
      </c>
    </row>
    <row r="1007" spans="22:22" x14ac:dyDescent="0.25">
      <c r="V1007" s="1" t="str">
        <f>+IFERROR(IF(Tabla3[[#This Row],[Cilindros totales pendientes]]&gt;0,1,""),"")</f>
        <v/>
      </c>
    </row>
    <row r="1008" spans="22:22" x14ac:dyDescent="0.25">
      <c r="V1008" s="1" t="str">
        <f>+IFERROR(IF(Tabla3[[#This Row],[Cilindros totales pendientes]]&gt;0,1,""),"")</f>
        <v/>
      </c>
    </row>
    <row r="1009" spans="22:22" x14ac:dyDescent="0.25">
      <c r="V1009" s="1" t="str">
        <f>+IFERROR(IF(Tabla3[[#This Row],[Cilindros totales pendientes]]&gt;0,1,""),"")</f>
        <v/>
      </c>
    </row>
    <row r="1010" spans="22:22" x14ac:dyDescent="0.25">
      <c r="V1010" s="1" t="str">
        <f>+IFERROR(IF(Tabla3[[#This Row],[Cilindros totales pendientes]]&gt;0,1,""),"")</f>
        <v/>
      </c>
    </row>
    <row r="1011" spans="22:22" x14ac:dyDescent="0.25">
      <c r="V1011" s="1" t="str">
        <f>+IFERROR(IF(Tabla3[[#This Row],[Cilindros totales pendientes]]&gt;0,1,""),"")</f>
        <v/>
      </c>
    </row>
    <row r="1012" spans="22:22" x14ac:dyDescent="0.25">
      <c r="V1012" s="1" t="str">
        <f>+IFERROR(IF(Tabla3[[#This Row],[Cilindros totales pendientes]]&gt;0,1,""),"")</f>
        <v/>
      </c>
    </row>
    <row r="1013" spans="22:22" x14ac:dyDescent="0.25">
      <c r="V1013" s="1" t="str">
        <f>+IFERROR(IF(Tabla3[[#This Row],[Cilindros totales pendientes]]&gt;0,1,""),"")</f>
        <v/>
      </c>
    </row>
    <row r="1014" spans="22:22" x14ac:dyDescent="0.25">
      <c r="V1014" s="1" t="str">
        <f>+IFERROR(IF(Tabla3[[#This Row],[Cilindros totales pendientes]]&gt;0,1,""),"")</f>
        <v/>
      </c>
    </row>
    <row r="1015" spans="22:22" x14ac:dyDescent="0.25">
      <c r="V1015" s="1" t="str">
        <f>+IFERROR(IF(Tabla3[[#This Row],[Cilindros totales pendientes]]&gt;0,1,""),"")</f>
        <v/>
      </c>
    </row>
    <row r="1016" spans="22:22" x14ac:dyDescent="0.25">
      <c r="V1016" s="1" t="str">
        <f>+IFERROR(IF(Tabla3[[#This Row],[Cilindros totales pendientes]]&gt;0,1,""),"")</f>
        <v/>
      </c>
    </row>
    <row r="1017" spans="22:22" x14ac:dyDescent="0.25">
      <c r="V1017" s="1" t="str">
        <f>+IFERROR(IF(Tabla3[[#This Row],[Cilindros totales pendientes]]&gt;0,1,""),"")</f>
        <v/>
      </c>
    </row>
    <row r="1018" spans="22:22" x14ac:dyDescent="0.25">
      <c r="V1018" s="1" t="str">
        <f>+IFERROR(IF(Tabla3[[#This Row],[Cilindros totales pendientes]]&gt;0,1,""),"")</f>
        <v/>
      </c>
    </row>
    <row r="1019" spans="22:22" x14ac:dyDescent="0.25">
      <c r="V1019" s="1" t="str">
        <f>+IFERROR(IF(Tabla3[[#This Row],[Cilindros totales pendientes]]&gt;0,1,""),"")</f>
        <v/>
      </c>
    </row>
    <row r="1020" spans="22:22" x14ac:dyDescent="0.25">
      <c r="V1020" s="1" t="str">
        <f>+IFERROR(IF(Tabla3[[#This Row],[Cilindros totales pendientes]]&gt;0,1,""),"")</f>
        <v/>
      </c>
    </row>
    <row r="1021" spans="22:22" x14ac:dyDescent="0.25">
      <c r="V1021" s="1" t="str">
        <f>+IFERROR(IF(Tabla3[[#This Row],[Cilindros totales pendientes]]&gt;0,1,""),"")</f>
        <v/>
      </c>
    </row>
    <row r="1022" spans="22:22" x14ac:dyDescent="0.25">
      <c r="V1022" s="1" t="str">
        <f>+IFERROR(IF(Tabla3[[#This Row],[Cilindros totales pendientes]]&gt;0,1,""),"")</f>
        <v/>
      </c>
    </row>
    <row r="1023" spans="22:22" x14ac:dyDescent="0.25">
      <c r="V1023" s="1" t="str">
        <f>+IFERROR(IF(Tabla3[[#This Row],[Cilindros totales pendientes]]&gt;0,1,""),"")</f>
        <v/>
      </c>
    </row>
    <row r="1024" spans="22:22" x14ac:dyDescent="0.25">
      <c r="V1024" s="1" t="str">
        <f>+IFERROR(IF(Tabla3[[#This Row],[Cilindros totales pendientes]]&gt;0,1,""),"")</f>
        <v/>
      </c>
    </row>
    <row r="1025" spans="22:22" x14ac:dyDescent="0.25">
      <c r="V1025" s="1" t="str">
        <f>+IFERROR(IF(Tabla3[[#This Row],[Cilindros totales pendientes]]&gt;0,1,""),"")</f>
        <v/>
      </c>
    </row>
    <row r="1026" spans="22:22" x14ac:dyDescent="0.25">
      <c r="V1026" s="1" t="str">
        <f>+IFERROR(IF(Tabla3[[#This Row],[Cilindros totales pendientes]]&gt;0,1,""),"")</f>
        <v/>
      </c>
    </row>
    <row r="1027" spans="22:22" x14ac:dyDescent="0.25">
      <c r="V1027" s="1" t="str">
        <f>+IFERROR(IF(Tabla3[[#This Row],[Cilindros totales pendientes]]&gt;0,1,""),"")</f>
        <v/>
      </c>
    </row>
    <row r="1028" spans="22:22" x14ac:dyDescent="0.25">
      <c r="V1028" s="1" t="str">
        <f>+IFERROR(IF(Tabla3[[#This Row],[Cilindros totales pendientes]]&gt;0,1,""),"")</f>
        <v/>
      </c>
    </row>
    <row r="1029" spans="22:22" x14ac:dyDescent="0.25">
      <c r="V1029" s="1" t="str">
        <f>+IFERROR(IF(Tabla3[[#This Row],[Cilindros totales pendientes]]&gt;0,1,""),"")</f>
        <v/>
      </c>
    </row>
    <row r="1030" spans="22:22" x14ac:dyDescent="0.25">
      <c r="V1030" s="1" t="str">
        <f>+IFERROR(IF(Tabla3[[#This Row],[Cilindros totales pendientes]]&gt;0,1,""),"")</f>
        <v/>
      </c>
    </row>
    <row r="1031" spans="22:22" x14ac:dyDescent="0.25">
      <c r="V1031" s="1" t="str">
        <f>+IFERROR(IF(Tabla3[[#This Row],[Cilindros totales pendientes]]&gt;0,1,""),"")</f>
        <v/>
      </c>
    </row>
    <row r="1032" spans="22:22" x14ac:dyDescent="0.25">
      <c r="V1032" s="1" t="str">
        <f>+IFERROR(IF(Tabla3[[#This Row],[Cilindros totales pendientes]]&gt;0,1,""),"")</f>
        <v/>
      </c>
    </row>
    <row r="1033" spans="22:22" x14ac:dyDescent="0.25">
      <c r="V1033" s="1" t="str">
        <f>+IFERROR(IF(Tabla3[[#This Row],[Cilindros totales pendientes]]&gt;0,1,""),"")</f>
        <v/>
      </c>
    </row>
    <row r="1034" spans="22:22" x14ac:dyDescent="0.25">
      <c r="V1034" s="1" t="str">
        <f>+IFERROR(IF(Tabla3[[#This Row],[Cilindros totales pendientes]]&gt;0,1,""),"")</f>
        <v/>
      </c>
    </row>
    <row r="1035" spans="22:22" x14ac:dyDescent="0.25">
      <c r="V1035" s="1" t="str">
        <f>+IFERROR(IF(Tabla3[[#This Row],[Cilindros totales pendientes]]&gt;0,1,""),"")</f>
        <v/>
      </c>
    </row>
    <row r="1036" spans="22:22" x14ac:dyDescent="0.25">
      <c r="V1036" s="1" t="str">
        <f>+IFERROR(IF(Tabla3[[#This Row],[Cilindros totales pendientes]]&gt;0,1,""),"")</f>
        <v/>
      </c>
    </row>
    <row r="1037" spans="22:22" x14ac:dyDescent="0.25">
      <c r="V1037" s="1" t="str">
        <f>+IFERROR(IF(Tabla3[[#This Row],[Cilindros totales pendientes]]&gt;0,1,""),"")</f>
        <v/>
      </c>
    </row>
    <row r="1038" spans="22:22" x14ac:dyDescent="0.25">
      <c r="V1038" s="1" t="str">
        <f>+IFERROR(IF(Tabla3[[#This Row],[Cilindros totales pendientes]]&gt;0,1,""),"")</f>
        <v/>
      </c>
    </row>
    <row r="1039" spans="22:22" x14ac:dyDescent="0.25">
      <c r="V1039" s="1" t="str">
        <f>+IFERROR(IF(Tabla3[[#This Row],[Cilindros totales pendientes]]&gt;0,1,""),"")</f>
        <v/>
      </c>
    </row>
    <row r="1040" spans="22:22" x14ac:dyDescent="0.25">
      <c r="V1040" s="1" t="str">
        <f>+IFERROR(IF(Tabla3[[#This Row],[Cilindros totales pendientes]]&gt;0,1,""),"")</f>
        <v/>
      </c>
    </row>
    <row r="1041" spans="22:22" x14ac:dyDescent="0.25">
      <c r="V1041" s="1" t="str">
        <f>+IFERROR(IF(Tabla3[[#This Row],[Cilindros totales pendientes]]&gt;0,1,""),"")</f>
        <v/>
      </c>
    </row>
    <row r="1042" spans="22:22" x14ac:dyDescent="0.25">
      <c r="V1042" s="1" t="str">
        <f>+IFERROR(IF(Tabla3[[#This Row],[Cilindros totales pendientes]]&gt;0,1,""),"")</f>
        <v/>
      </c>
    </row>
    <row r="1043" spans="22:22" x14ac:dyDescent="0.25">
      <c r="V1043" s="1" t="str">
        <f>+IFERROR(IF(Tabla3[[#This Row],[Cilindros totales pendientes]]&gt;0,1,""),"")</f>
        <v/>
      </c>
    </row>
    <row r="1044" spans="22:22" x14ac:dyDescent="0.25">
      <c r="V1044" s="1" t="str">
        <f>+IFERROR(IF(Tabla3[[#This Row],[Cilindros totales pendientes]]&gt;0,1,""),"")</f>
        <v/>
      </c>
    </row>
    <row r="1045" spans="22:22" x14ac:dyDescent="0.25">
      <c r="V1045" s="1" t="str">
        <f>+IFERROR(IF(Tabla3[[#This Row],[Cilindros totales pendientes]]&gt;0,1,""),"")</f>
        <v/>
      </c>
    </row>
    <row r="1046" spans="22:22" x14ac:dyDescent="0.25">
      <c r="V1046" s="1" t="str">
        <f>+IFERROR(IF(Tabla3[[#This Row],[Cilindros totales pendientes]]&gt;0,1,""),"")</f>
        <v/>
      </c>
    </row>
    <row r="1047" spans="22:22" x14ac:dyDescent="0.25">
      <c r="V1047" s="1" t="str">
        <f>+IFERROR(IF(Tabla3[[#This Row],[Cilindros totales pendientes]]&gt;0,1,""),"")</f>
        <v/>
      </c>
    </row>
    <row r="1048" spans="22:22" x14ac:dyDescent="0.25">
      <c r="V1048" s="1" t="str">
        <f>+IFERROR(IF(Tabla3[[#This Row],[Cilindros totales pendientes]]&gt;0,1,""),"")</f>
        <v/>
      </c>
    </row>
    <row r="1049" spans="22:22" x14ac:dyDescent="0.25">
      <c r="V1049" s="1" t="str">
        <f>+IFERROR(IF(Tabla3[[#This Row],[Cilindros totales pendientes]]&gt;0,1,""),"")</f>
        <v/>
      </c>
    </row>
    <row r="1050" spans="22:22" x14ac:dyDescent="0.25">
      <c r="V1050" s="1" t="str">
        <f>+IFERROR(IF(Tabla3[[#This Row],[Cilindros totales pendientes]]&gt;0,1,""),"")</f>
        <v/>
      </c>
    </row>
    <row r="1051" spans="22:22" x14ac:dyDescent="0.25">
      <c r="V1051" s="1" t="str">
        <f>+IFERROR(IF(Tabla3[[#This Row],[Cilindros totales pendientes]]&gt;0,1,""),"")</f>
        <v/>
      </c>
    </row>
    <row r="1052" spans="22:22" x14ac:dyDescent="0.25">
      <c r="V1052" s="1" t="str">
        <f>+IFERROR(IF(Tabla3[[#This Row],[Cilindros totales pendientes]]&gt;0,1,""),"")</f>
        <v/>
      </c>
    </row>
    <row r="1053" spans="22:22" x14ac:dyDescent="0.25">
      <c r="V1053" s="1" t="str">
        <f>+IFERROR(IF(Tabla3[[#This Row],[Cilindros totales pendientes]]&gt;0,1,""),"")</f>
        <v/>
      </c>
    </row>
    <row r="1054" spans="22:22" x14ac:dyDescent="0.25">
      <c r="V1054" s="1" t="str">
        <f>+IFERROR(IF(Tabla3[[#This Row],[Cilindros totales pendientes]]&gt;0,1,""),"")</f>
        <v/>
      </c>
    </row>
    <row r="1055" spans="22:22" x14ac:dyDescent="0.25">
      <c r="V1055" s="1" t="str">
        <f>+IFERROR(IF(Tabla3[[#This Row],[Cilindros totales pendientes]]&gt;0,1,""),"")</f>
        <v/>
      </c>
    </row>
    <row r="1056" spans="22:22" x14ac:dyDescent="0.25">
      <c r="V1056" s="1" t="str">
        <f>+IFERROR(IF(Tabla3[[#This Row],[Cilindros totales pendientes]]&gt;0,1,""),"")</f>
        <v/>
      </c>
    </row>
    <row r="1057" spans="22:22" x14ac:dyDescent="0.25">
      <c r="V1057" s="1" t="str">
        <f>+IFERROR(IF(Tabla3[[#This Row],[Cilindros totales pendientes]]&gt;0,1,""),"")</f>
        <v/>
      </c>
    </row>
    <row r="1058" spans="22:22" x14ac:dyDescent="0.25">
      <c r="V1058" s="1" t="str">
        <f>+IFERROR(IF(Tabla3[[#This Row],[Cilindros totales pendientes]]&gt;0,1,""),"")</f>
        <v/>
      </c>
    </row>
    <row r="1059" spans="22:22" x14ac:dyDescent="0.25">
      <c r="V1059" s="1" t="str">
        <f>+IFERROR(IF(Tabla3[[#This Row],[Cilindros totales pendientes]]&gt;0,1,""),"")</f>
        <v/>
      </c>
    </row>
    <row r="1060" spans="22:22" x14ac:dyDescent="0.25">
      <c r="V1060" s="1" t="str">
        <f>+IFERROR(IF(Tabla3[[#This Row],[Cilindros totales pendientes]]&gt;0,1,""),"")</f>
        <v/>
      </c>
    </row>
    <row r="1061" spans="22:22" x14ac:dyDescent="0.25">
      <c r="V1061" s="1" t="str">
        <f>+IFERROR(IF(Tabla3[[#This Row],[Cilindros totales pendientes]]&gt;0,1,""),"")</f>
        <v/>
      </c>
    </row>
    <row r="1062" spans="22:22" x14ac:dyDescent="0.25">
      <c r="V1062" s="1" t="str">
        <f>+IFERROR(IF(Tabla3[[#This Row],[Cilindros totales pendientes]]&gt;0,1,""),"")</f>
        <v/>
      </c>
    </row>
    <row r="1063" spans="22:22" x14ac:dyDescent="0.25">
      <c r="V1063" s="1" t="str">
        <f>+IFERROR(IF(Tabla3[[#This Row],[Cilindros totales pendientes]]&gt;0,1,""),"")</f>
        <v/>
      </c>
    </row>
    <row r="1064" spans="22:22" x14ac:dyDescent="0.25">
      <c r="V1064" s="1" t="str">
        <f>+IFERROR(IF(Tabla3[[#This Row],[Cilindros totales pendientes]]&gt;0,1,""),"")</f>
        <v/>
      </c>
    </row>
    <row r="1065" spans="22:22" x14ac:dyDescent="0.25">
      <c r="V1065" s="1" t="str">
        <f>+IFERROR(IF(Tabla3[[#This Row],[Cilindros totales pendientes]]&gt;0,1,""),"")</f>
        <v/>
      </c>
    </row>
    <row r="1066" spans="22:22" x14ac:dyDescent="0.25">
      <c r="V1066" s="1" t="str">
        <f>+IFERROR(IF(Tabla3[[#This Row],[Cilindros totales pendientes]]&gt;0,1,""),"")</f>
        <v/>
      </c>
    </row>
    <row r="1067" spans="22:22" x14ac:dyDescent="0.25">
      <c r="V1067" s="1" t="str">
        <f>+IFERROR(IF(Tabla3[[#This Row],[Cilindros totales pendientes]]&gt;0,1,""),"")</f>
        <v/>
      </c>
    </row>
    <row r="1068" spans="22:22" x14ac:dyDescent="0.25">
      <c r="V1068" s="1" t="str">
        <f>+IFERROR(IF(Tabla3[[#This Row],[Cilindros totales pendientes]]&gt;0,1,""),"")</f>
        <v/>
      </c>
    </row>
    <row r="1069" spans="22:22" x14ac:dyDescent="0.25">
      <c r="V1069" s="1" t="str">
        <f>+IFERROR(IF(Tabla3[[#This Row],[Cilindros totales pendientes]]&gt;0,1,""),"")</f>
        <v/>
      </c>
    </row>
    <row r="1070" spans="22:22" x14ac:dyDescent="0.25">
      <c r="V1070" s="1" t="str">
        <f>+IFERROR(IF(Tabla3[[#This Row],[Cilindros totales pendientes]]&gt;0,1,""),"")</f>
        <v/>
      </c>
    </row>
    <row r="1071" spans="22:22" x14ac:dyDescent="0.25">
      <c r="V1071" s="1" t="str">
        <f>+IFERROR(IF(Tabla3[[#This Row],[Cilindros totales pendientes]]&gt;0,1,""),"")</f>
        <v/>
      </c>
    </row>
    <row r="1072" spans="22:22" x14ac:dyDescent="0.25">
      <c r="V1072" s="1" t="str">
        <f>+IFERROR(IF(Tabla3[[#This Row],[Cilindros totales pendientes]]&gt;0,1,""),"")</f>
        <v/>
      </c>
    </row>
    <row r="1073" spans="22:22" x14ac:dyDescent="0.25">
      <c r="V1073" s="1" t="str">
        <f>+IFERROR(IF(Tabla3[[#This Row],[Cilindros totales pendientes]]&gt;0,1,""),"")</f>
        <v/>
      </c>
    </row>
    <row r="1074" spans="22:22" x14ac:dyDescent="0.25">
      <c r="V1074" s="1" t="str">
        <f>+IFERROR(IF(Tabla3[[#This Row],[Cilindros totales pendientes]]&gt;0,1,""),"")</f>
        <v/>
      </c>
    </row>
    <row r="1075" spans="22:22" x14ac:dyDescent="0.25">
      <c r="V1075" s="1" t="str">
        <f>+IFERROR(IF(Tabla3[[#This Row],[Cilindros totales pendientes]]&gt;0,1,""),"")</f>
        <v/>
      </c>
    </row>
    <row r="1076" spans="22:22" x14ac:dyDescent="0.25">
      <c r="V1076" s="1" t="str">
        <f>+IFERROR(IF(Tabla3[[#This Row],[Cilindros totales pendientes]]&gt;0,1,""),"")</f>
        <v/>
      </c>
    </row>
    <row r="1077" spans="22:22" x14ac:dyDescent="0.25">
      <c r="V1077" s="1" t="str">
        <f>+IFERROR(IF(Tabla3[[#This Row],[Cilindros totales pendientes]]&gt;0,1,""),"")</f>
        <v/>
      </c>
    </row>
    <row r="1078" spans="22:22" x14ac:dyDescent="0.25">
      <c r="V1078" s="1" t="str">
        <f>+IFERROR(IF(Tabla3[[#This Row],[Cilindros totales pendientes]]&gt;0,1,""),"")</f>
        <v/>
      </c>
    </row>
    <row r="1079" spans="22:22" x14ac:dyDescent="0.25">
      <c r="V1079" s="1" t="str">
        <f>+IFERROR(IF(Tabla3[[#This Row],[Cilindros totales pendientes]]&gt;0,1,""),"")</f>
        <v/>
      </c>
    </row>
    <row r="1080" spans="22:22" x14ac:dyDescent="0.25">
      <c r="V1080" s="1" t="str">
        <f>+IFERROR(IF(Tabla3[[#This Row],[Cilindros totales pendientes]]&gt;0,1,""),"")</f>
        <v/>
      </c>
    </row>
    <row r="1081" spans="22:22" x14ac:dyDescent="0.25">
      <c r="V1081" s="1" t="str">
        <f>+IFERROR(IF(Tabla3[[#This Row],[Cilindros totales pendientes]]&gt;0,1,""),"")</f>
        <v/>
      </c>
    </row>
    <row r="1082" spans="22:22" x14ac:dyDescent="0.25">
      <c r="V1082" s="1" t="str">
        <f>+IFERROR(IF(Tabla3[[#This Row],[Cilindros totales pendientes]]&gt;0,1,""),"")</f>
        <v/>
      </c>
    </row>
    <row r="1083" spans="22:22" x14ac:dyDescent="0.25">
      <c r="V1083" s="1" t="str">
        <f>+IFERROR(IF(Tabla3[[#This Row],[Cilindros totales pendientes]]&gt;0,1,""),"")</f>
        <v/>
      </c>
    </row>
    <row r="1084" spans="22:22" x14ac:dyDescent="0.25">
      <c r="V1084" s="1" t="str">
        <f>+IFERROR(IF(Tabla3[[#This Row],[Cilindros totales pendientes]]&gt;0,1,""),"")</f>
        <v/>
      </c>
    </row>
    <row r="1085" spans="22:22" x14ac:dyDescent="0.25">
      <c r="V1085" s="1" t="str">
        <f>+IFERROR(IF(Tabla3[[#This Row],[Cilindros totales pendientes]]&gt;0,1,""),"")</f>
        <v/>
      </c>
    </row>
    <row r="1086" spans="22:22" x14ac:dyDescent="0.25">
      <c r="V1086" s="1" t="str">
        <f>+IFERROR(IF(Tabla3[[#This Row],[Cilindros totales pendientes]]&gt;0,1,""),"")</f>
        <v/>
      </c>
    </row>
    <row r="1087" spans="22:22" x14ac:dyDescent="0.25">
      <c r="V1087" s="1" t="str">
        <f>+IFERROR(IF(Tabla3[[#This Row],[Cilindros totales pendientes]]&gt;0,1,""),"")</f>
        <v/>
      </c>
    </row>
    <row r="1088" spans="22:22" x14ac:dyDescent="0.25">
      <c r="V1088" s="1" t="str">
        <f>+IFERROR(IF(Tabla3[[#This Row],[Cilindros totales pendientes]]&gt;0,1,""),"")</f>
        <v/>
      </c>
    </row>
    <row r="1089" spans="22:22" x14ac:dyDescent="0.25">
      <c r="V1089" s="1" t="str">
        <f>+IFERROR(IF(Tabla3[[#This Row],[Cilindros totales pendientes]]&gt;0,1,""),"")</f>
        <v/>
      </c>
    </row>
    <row r="1090" spans="22:22" x14ac:dyDescent="0.25">
      <c r="V1090" s="1" t="str">
        <f>+IFERROR(IF(Tabla3[[#This Row],[Cilindros totales pendientes]]&gt;0,1,""),"")</f>
        <v/>
      </c>
    </row>
    <row r="1091" spans="22:22" x14ac:dyDescent="0.25">
      <c r="V1091" s="1" t="str">
        <f>+IFERROR(IF(Tabla3[[#This Row],[Cilindros totales pendientes]]&gt;0,1,""),"")</f>
        <v/>
      </c>
    </row>
    <row r="1092" spans="22:22" x14ac:dyDescent="0.25">
      <c r="V1092" s="1" t="str">
        <f>+IFERROR(IF(Tabla3[[#This Row],[Cilindros totales pendientes]]&gt;0,1,""),"")</f>
        <v/>
      </c>
    </row>
    <row r="1093" spans="22:22" x14ac:dyDescent="0.25">
      <c r="V1093" s="1" t="str">
        <f>+IFERROR(IF(Tabla3[[#This Row],[Cilindros totales pendientes]]&gt;0,1,""),"")</f>
        <v/>
      </c>
    </row>
    <row r="1094" spans="22:22" x14ac:dyDescent="0.25">
      <c r="V1094" s="1" t="str">
        <f>+IFERROR(IF(Tabla3[[#This Row],[Cilindros totales pendientes]]&gt;0,1,""),"")</f>
        <v/>
      </c>
    </row>
    <row r="1095" spans="22:22" x14ac:dyDescent="0.25">
      <c r="V1095" s="1" t="str">
        <f>+IFERROR(IF(Tabla3[[#This Row],[Cilindros totales pendientes]]&gt;0,1,""),"")</f>
        <v/>
      </c>
    </row>
    <row r="1096" spans="22:22" x14ac:dyDescent="0.25">
      <c r="V1096" s="1" t="str">
        <f>+IFERROR(IF(Tabla3[[#This Row],[Cilindros totales pendientes]]&gt;0,1,""),"")</f>
        <v/>
      </c>
    </row>
    <row r="1097" spans="22:22" x14ac:dyDescent="0.25">
      <c r="V1097" s="1" t="str">
        <f>+IFERROR(IF(Tabla3[[#This Row],[Cilindros totales pendientes]]&gt;0,1,""),"")</f>
        <v/>
      </c>
    </row>
    <row r="1098" spans="22:22" x14ac:dyDescent="0.25">
      <c r="V1098" s="1" t="str">
        <f>+IFERROR(IF(Tabla3[[#This Row],[Cilindros totales pendientes]]&gt;0,1,""),"")</f>
        <v/>
      </c>
    </row>
    <row r="1099" spans="22:22" x14ac:dyDescent="0.25">
      <c r="V1099" s="1" t="str">
        <f>+IFERROR(IF(Tabla3[[#This Row],[Cilindros totales pendientes]]&gt;0,1,""),"")</f>
        <v/>
      </c>
    </row>
    <row r="1100" spans="22:22" x14ac:dyDescent="0.25">
      <c r="V1100" s="1" t="str">
        <f>+IFERROR(IF(Tabla3[[#This Row],[Cilindros totales pendientes]]&gt;0,1,""),"")</f>
        <v/>
      </c>
    </row>
    <row r="1101" spans="22:22" x14ac:dyDescent="0.25">
      <c r="V1101" s="1" t="str">
        <f>+IFERROR(IF(Tabla3[[#This Row],[Cilindros totales pendientes]]&gt;0,1,""),"")</f>
        <v/>
      </c>
    </row>
    <row r="1102" spans="22:22" x14ac:dyDescent="0.25">
      <c r="V1102" s="1" t="str">
        <f>+IFERROR(IF(Tabla3[[#This Row],[Cilindros totales pendientes]]&gt;0,1,""),"")</f>
        <v/>
      </c>
    </row>
    <row r="1103" spans="22:22" x14ac:dyDescent="0.25">
      <c r="V1103" s="1" t="str">
        <f>+IFERROR(IF(Tabla3[[#This Row],[Cilindros totales pendientes]]&gt;0,1,""),"")</f>
        <v/>
      </c>
    </row>
    <row r="1104" spans="22:22" x14ac:dyDescent="0.25">
      <c r="V1104" s="1" t="str">
        <f>+IFERROR(IF(Tabla3[[#This Row],[Cilindros totales pendientes]]&gt;0,1,""),"")</f>
        <v/>
      </c>
    </row>
    <row r="1105" spans="22:22" x14ac:dyDescent="0.25">
      <c r="V1105" s="1" t="str">
        <f>+IFERROR(IF(Tabla3[[#This Row],[Cilindros totales pendientes]]&gt;0,1,""),"")</f>
        <v/>
      </c>
    </row>
    <row r="1106" spans="22:22" x14ac:dyDescent="0.25">
      <c r="V1106" s="1" t="str">
        <f>+IFERROR(IF(Tabla3[[#This Row],[Cilindros totales pendientes]]&gt;0,1,""),"")</f>
        <v/>
      </c>
    </row>
    <row r="1107" spans="22:22" x14ac:dyDescent="0.25">
      <c r="V1107" s="1" t="str">
        <f>+IFERROR(IF(Tabla3[[#This Row],[Cilindros totales pendientes]]&gt;0,1,""),"")</f>
        <v/>
      </c>
    </row>
    <row r="1108" spans="22:22" x14ac:dyDescent="0.25">
      <c r="V1108" s="1" t="str">
        <f>+IFERROR(IF(Tabla3[[#This Row],[Cilindros totales pendientes]]&gt;0,1,""),"")</f>
        <v/>
      </c>
    </row>
    <row r="1109" spans="22:22" x14ac:dyDescent="0.25">
      <c r="V1109" s="1" t="str">
        <f>+IFERROR(IF(Tabla3[[#This Row],[Cilindros totales pendientes]]&gt;0,1,""),"")</f>
        <v/>
      </c>
    </row>
    <row r="1110" spans="22:22" x14ac:dyDescent="0.25">
      <c r="V1110" s="1" t="str">
        <f>+IFERROR(IF(Tabla3[[#This Row],[Cilindros totales pendientes]]&gt;0,1,""),"")</f>
        <v/>
      </c>
    </row>
    <row r="1111" spans="22:22" x14ac:dyDescent="0.25">
      <c r="V1111" s="1" t="str">
        <f>+IFERROR(IF(Tabla3[[#This Row],[Cilindros totales pendientes]]&gt;0,1,""),"")</f>
        <v/>
      </c>
    </row>
    <row r="1112" spans="22:22" x14ac:dyDescent="0.25">
      <c r="V1112" s="1" t="str">
        <f>+IFERROR(IF(Tabla3[[#This Row],[Cilindros totales pendientes]]&gt;0,1,""),"")</f>
        <v/>
      </c>
    </row>
    <row r="1113" spans="22:22" x14ac:dyDescent="0.25">
      <c r="V1113" s="1" t="str">
        <f>+IFERROR(IF(Tabla3[[#This Row],[Cilindros totales pendientes]]&gt;0,1,""),"")</f>
        <v/>
      </c>
    </row>
    <row r="1114" spans="22:22" x14ac:dyDescent="0.25">
      <c r="V1114" s="1" t="str">
        <f>+IFERROR(IF(Tabla3[[#This Row],[Cilindros totales pendientes]]&gt;0,1,""),"")</f>
        <v/>
      </c>
    </row>
    <row r="1115" spans="22:22" x14ac:dyDescent="0.25">
      <c r="V1115" s="1" t="str">
        <f>+IFERROR(IF(Tabla3[[#This Row],[Cilindros totales pendientes]]&gt;0,1,""),"")</f>
        <v/>
      </c>
    </row>
    <row r="1116" spans="22:22" x14ac:dyDescent="0.25">
      <c r="V1116" s="1" t="str">
        <f>+IFERROR(IF(Tabla3[[#This Row],[Cilindros totales pendientes]]&gt;0,1,""),"")</f>
        <v/>
      </c>
    </row>
    <row r="1117" spans="22:22" x14ac:dyDescent="0.25">
      <c r="V1117" s="1" t="str">
        <f>+IFERROR(IF(Tabla3[[#This Row],[Cilindros totales pendientes]]&gt;0,1,""),"")</f>
        <v/>
      </c>
    </row>
    <row r="1118" spans="22:22" x14ac:dyDescent="0.25">
      <c r="V1118" s="1" t="str">
        <f>+IFERROR(IF(Tabla3[[#This Row],[Cilindros totales pendientes]]&gt;0,1,""),"")</f>
        <v/>
      </c>
    </row>
    <row r="1119" spans="22:22" x14ac:dyDescent="0.25">
      <c r="V1119" s="1" t="str">
        <f>+IFERROR(IF(Tabla3[[#This Row],[Cilindros totales pendientes]]&gt;0,1,""),"")</f>
        <v/>
      </c>
    </row>
    <row r="1120" spans="22:22" x14ac:dyDescent="0.25">
      <c r="V1120" s="1" t="str">
        <f>+IFERROR(IF(Tabla3[[#This Row],[Cilindros totales pendientes]]&gt;0,1,""),"")</f>
        <v/>
      </c>
    </row>
    <row r="1121" spans="22:22" x14ac:dyDescent="0.25">
      <c r="V1121" s="1" t="str">
        <f>+IFERROR(IF(Tabla3[[#This Row],[Cilindros totales pendientes]]&gt;0,1,""),"")</f>
        <v/>
      </c>
    </row>
    <row r="1122" spans="22:22" x14ac:dyDescent="0.25">
      <c r="V1122" s="1" t="str">
        <f>+IFERROR(IF(Tabla3[[#This Row],[Cilindros totales pendientes]]&gt;0,1,""),"")</f>
        <v/>
      </c>
    </row>
    <row r="1123" spans="22:22" x14ac:dyDescent="0.25">
      <c r="V1123" s="1" t="str">
        <f>+IFERROR(IF(Tabla3[[#This Row],[Cilindros totales pendientes]]&gt;0,1,""),"")</f>
        <v/>
      </c>
    </row>
    <row r="1124" spans="22:22" x14ac:dyDescent="0.25">
      <c r="V1124" s="1" t="str">
        <f>+IFERROR(IF(Tabla3[[#This Row],[Cilindros totales pendientes]]&gt;0,1,""),"")</f>
        <v/>
      </c>
    </row>
    <row r="1125" spans="22:22" x14ac:dyDescent="0.25">
      <c r="V1125" s="1" t="str">
        <f>+IFERROR(IF(Tabla3[[#This Row],[Cilindros totales pendientes]]&gt;0,1,""),"")</f>
        <v/>
      </c>
    </row>
    <row r="1126" spans="22:22" x14ac:dyDescent="0.25">
      <c r="V1126" s="1" t="str">
        <f>+IFERROR(IF(Tabla3[[#This Row],[Cilindros totales pendientes]]&gt;0,1,""),"")</f>
        <v/>
      </c>
    </row>
    <row r="1127" spans="22:22" x14ac:dyDescent="0.25">
      <c r="V1127" s="1" t="str">
        <f>+IFERROR(IF(Tabla3[[#This Row],[Cilindros totales pendientes]]&gt;0,1,""),"")</f>
        <v/>
      </c>
    </row>
    <row r="1128" spans="22:22" x14ac:dyDescent="0.25">
      <c r="V1128" s="1" t="str">
        <f>+IFERROR(IF(Tabla3[[#This Row],[Cilindros totales pendientes]]&gt;0,1,""),"")</f>
        <v/>
      </c>
    </row>
    <row r="1129" spans="22:22" x14ac:dyDescent="0.25">
      <c r="V1129" s="1" t="str">
        <f>+IFERROR(IF(Tabla3[[#This Row],[Cilindros totales pendientes]]&gt;0,1,""),"")</f>
        <v/>
      </c>
    </row>
    <row r="1130" spans="22:22" x14ac:dyDescent="0.25">
      <c r="V1130" s="1" t="str">
        <f>+IFERROR(IF(Tabla3[[#This Row],[Cilindros totales pendientes]]&gt;0,1,""),"")</f>
        <v/>
      </c>
    </row>
    <row r="1131" spans="22:22" x14ac:dyDescent="0.25">
      <c r="V1131" s="1" t="str">
        <f>+IFERROR(IF(Tabla3[[#This Row],[Cilindros totales pendientes]]&gt;0,1,""),"")</f>
        <v/>
      </c>
    </row>
    <row r="1132" spans="22:22" x14ac:dyDescent="0.25">
      <c r="V1132" s="1" t="str">
        <f>+IFERROR(IF(Tabla3[[#This Row],[Cilindros totales pendientes]]&gt;0,1,""),"")</f>
        <v/>
      </c>
    </row>
    <row r="1133" spans="22:22" x14ac:dyDescent="0.25">
      <c r="V1133" s="1" t="str">
        <f>+IFERROR(IF(Tabla3[[#This Row],[Cilindros totales pendientes]]&gt;0,1,""),"")</f>
        <v/>
      </c>
    </row>
    <row r="1134" spans="22:22" x14ac:dyDescent="0.25">
      <c r="V1134" s="1" t="str">
        <f>+IFERROR(IF(Tabla3[[#This Row],[Cilindros totales pendientes]]&gt;0,1,""),"")</f>
        <v/>
      </c>
    </row>
    <row r="1135" spans="22:22" x14ac:dyDescent="0.25">
      <c r="V1135" s="1" t="str">
        <f>+IFERROR(IF(Tabla3[[#This Row],[Cilindros totales pendientes]]&gt;0,1,""),"")</f>
        <v/>
      </c>
    </row>
    <row r="1136" spans="22:22" x14ac:dyDescent="0.25">
      <c r="V1136" s="1" t="str">
        <f>+IFERROR(IF(Tabla3[[#This Row],[Cilindros totales pendientes]]&gt;0,1,""),"")</f>
        <v/>
      </c>
    </row>
    <row r="1137" spans="22:22" x14ac:dyDescent="0.25">
      <c r="V1137" s="1" t="str">
        <f>+IFERROR(IF(Tabla3[[#This Row],[Cilindros totales pendientes]]&gt;0,1,""),"")</f>
        <v/>
      </c>
    </row>
    <row r="1138" spans="22:22" x14ac:dyDescent="0.25">
      <c r="V1138" s="1" t="str">
        <f>+IFERROR(IF(Tabla3[[#This Row],[Cilindros totales pendientes]]&gt;0,1,""),"")</f>
        <v/>
      </c>
    </row>
    <row r="1139" spans="22:22" x14ac:dyDescent="0.25">
      <c r="V1139" s="1" t="str">
        <f>+IFERROR(IF(Tabla3[[#This Row],[Cilindros totales pendientes]]&gt;0,1,""),"")</f>
        <v/>
      </c>
    </row>
    <row r="1140" spans="22:22" x14ac:dyDescent="0.25">
      <c r="V1140" s="1" t="str">
        <f>+IFERROR(IF(Tabla3[[#This Row],[Cilindros totales pendientes]]&gt;0,1,""),"")</f>
        <v/>
      </c>
    </row>
    <row r="1141" spans="22:22" x14ac:dyDescent="0.25">
      <c r="V1141" s="1" t="str">
        <f>+IFERROR(IF(Tabla3[[#This Row],[Cilindros totales pendientes]]&gt;0,1,""),"")</f>
        <v/>
      </c>
    </row>
    <row r="1142" spans="22:22" x14ac:dyDescent="0.25">
      <c r="V1142" s="1" t="str">
        <f>+IFERROR(IF(Tabla3[[#This Row],[Cilindros totales pendientes]]&gt;0,1,""),"")</f>
        <v/>
      </c>
    </row>
    <row r="1143" spans="22:22" x14ac:dyDescent="0.25">
      <c r="V1143" s="1" t="str">
        <f>+IFERROR(IF(Tabla3[[#This Row],[Cilindros totales pendientes]]&gt;0,1,""),"")</f>
        <v/>
      </c>
    </row>
    <row r="1144" spans="22:22" x14ac:dyDescent="0.25">
      <c r="V1144" s="1" t="str">
        <f>+IFERROR(IF(Tabla3[[#This Row],[Cilindros totales pendientes]]&gt;0,1,""),"")</f>
        <v/>
      </c>
    </row>
    <row r="1145" spans="22:22" x14ac:dyDescent="0.25">
      <c r="V1145" s="1" t="str">
        <f>+IFERROR(IF(Tabla3[[#This Row],[Cilindros totales pendientes]]&gt;0,1,""),"")</f>
        <v/>
      </c>
    </row>
    <row r="1146" spans="22:22" x14ac:dyDescent="0.25">
      <c r="V1146" s="1" t="str">
        <f>+IFERROR(IF(Tabla3[[#This Row],[Cilindros totales pendientes]]&gt;0,1,""),"")</f>
        <v/>
      </c>
    </row>
    <row r="1147" spans="22:22" x14ac:dyDescent="0.25">
      <c r="V1147" s="1" t="str">
        <f>+IFERROR(IF(Tabla3[[#This Row],[Cilindros totales pendientes]]&gt;0,1,""),"")</f>
        <v/>
      </c>
    </row>
    <row r="1148" spans="22:22" x14ac:dyDescent="0.25">
      <c r="V1148" s="1" t="str">
        <f>+IFERROR(IF(Tabla3[[#This Row],[Cilindros totales pendientes]]&gt;0,1,""),"")</f>
        <v/>
      </c>
    </row>
    <row r="1149" spans="22:22" x14ac:dyDescent="0.25">
      <c r="V1149" s="1" t="str">
        <f>+IFERROR(IF(Tabla3[[#This Row],[Cilindros totales pendientes]]&gt;0,1,""),"")</f>
        <v/>
      </c>
    </row>
    <row r="1150" spans="22:22" x14ac:dyDescent="0.25">
      <c r="V1150" s="1" t="str">
        <f>+IFERROR(IF(Tabla3[[#This Row],[Cilindros totales pendientes]]&gt;0,1,""),"")</f>
        <v/>
      </c>
    </row>
    <row r="1151" spans="22:22" x14ac:dyDescent="0.25">
      <c r="V1151" s="1" t="str">
        <f>+IFERROR(IF(Tabla3[[#This Row],[Cilindros totales pendientes]]&gt;0,1,""),"")</f>
        <v/>
      </c>
    </row>
    <row r="1152" spans="22:22" x14ac:dyDescent="0.25">
      <c r="V1152" s="1" t="str">
        <f>+IFERROR(IF(Tabla3[[#This Row],[Cilindros totales pendientes]]&gt;0,1,""),"")</f>
        <v/>
      </c>
    </row>
    <row r="1153" spans="22:22" x14ac:dyDescent="0.25">
      <c r="V1153" s="1" t="str">
        <f>+IFERROR(IF(Tabla3[[#This Row],[Cilindros totales pendientes]]&gt;0,1,""),"")</f>
        <v/>
      </c>
    </row>
    <row r="1154" spans="22:22" x14ac:dyDescent="0.25">
      <c r="V1154" s="1" t="str">
        <f>+IFERROR(IF(Tabla3[[#This Row],[Cilindros totales pendientes]]&gt;0,1,""),"")</f>
        <v/>
      </c>
    </row>
    <row r="1155" spans="22:22" x14ac:dyDescent="0.25">
      <c r="V1155" s="1" t="str">
        <f>+IFERROR(IF(Tabla3[[#This Row],[Cilindros totales pendientes]]&gt;0,1,""),"")</f>
        <v/>
      </c>
    </row>
    <row r="1156" spans="22:22" x14ac:dyDescent="0.25">
      <c r="V1156" s="1" t="str">
        <f>+IFERROR(IF(Tabla3[[#This Row],[Cilindros totales pendientes]]&gt;0,1,""),"")</f>
        <v/>
      </c>
    </row>
    <row r="1157" spans="22:22" x14ac:dyDescent="0.25">
      <c r="V1157" s="1" t="str">
        <f>+IFERROR(IF(Tabla3[[#This Row],[Cilindros totales pendientes]]&gt;0,1,""),"")</f>
        <v/>
      </c>
    </row>
    <row r="1158" spans="22:22" x14ac:dyDescent="0.25">
      <c r="V1158" s="1" t="str">
        <f>+IFERROR(IF(Tabla3[[#This Row],[Cilindros totales pendientes]]&gt;0,1,""),"")</f>
        <v/>
      </c>
    </row>
    <row r="1159" spans="22:22" x14ac:dyDescent="0.25">
      <c r="V1159" s="1" t="str">
        <f>+IFERROR(IF(Tabla3[[#This Row],[Cilindros totales pendientes]]&gt;0,1,""),"")</f>
        <v/>
      </c>
    </row>
    <row r="1160" spans="22:22" x14ac:dyDescent="0.25">
      <c r="V1160" s="1" t="str">
        <f>+IFERROR(IF(Tabla3[[#This Row],[Cilindros totales pendientes]]&gt;0,1,""),"")</f>
        <v/>
      </c>
    </row>
    <row r="1161" spans="22:22" x14ac:dyDescent="0.25">
      <c r="V1161" s="1" t="str">
        <f>+IFERROR(IF(Tabla3[[#This Row],[Cilindros totales pendientes]]&gt;0,1,""),"")</f>
        <v/>
      </c>
    </row>
    <row r="1162" spans="22:22" x14ac:dyDescent="0.25">
      <c r="V1162" s="1" t="str">
        <f>+IFERROR(IF(Tabla3[[#This Row],[Cilindros totales pendientes]]&gt;0,1,""),"")</f>
        <v/>
      </c>
    </row>
    <row r="1163" spans="22:22" x14ac:dyDescent="0.25">
      <c r="V1163" s="1" t="str">
        <f>+IFERROR(IF(Tabla3[[#This Row],[Cilindros totales pendientes]]&gt;0,1,""),"")</f>
        <v/>
      </c>
    </row>
    <row r="1164" spans="22:22" x14ac:dyDescent="0.25">
      <c r="V1164" s="1" t="str">
        <f>+IFERROR(IF(Tabla3[[#This Row],[Cilindros totales pendientes]]&gt;0,1,""),"")</f>
        <v/>
      </c>
    </row>
    <row r="1165" spans="22:22" x14ac:dyDescent="0.25">
      <c r="V1165" s="1" t="str">
        <f>+IFERROR(IF(Tabla3[[#This Row],[Cilindros totales pendientes]]&gt;0,1,""),"")</f>
        <v/>
      </c>
    </row>
    <row r="1166" spans="22:22" x14ac:dyDescent="0.25">
      <c r="V1166" s="1" t="str">
        <f>+IFERROR(IF(Tabla3[[#This Row],[Cilindros totales pendientes]]&gt;0,1,""),"")</f>
        <v/>
      </c>
    </row>
    <row r="1167" spans="22:22" x14ac:dyDescent="0.25">
      <c r="V1167" s="1" t="str">
        <f>+IFERROR(IF(Tabla3[[#This Row],[Cilindros totales pendientes]]&gt;0,1,""),"")</f>
        <v/>
      </c>
    </row>
    <row r="1168" spans="22:22" x14ac:dyDescent="0.25">
      <c r="V1168" s="1" t="str">
        <f>+IFERROR(IF(Tabla3[[#This Row],[Cilindros totales pendientes]]&gt;0,1,""),"")</f>
        <v/>
      </c>
    </row>
    <row r="1169" spans="22:22" x14ac:dyDescent="0.25">
      <c r="V1169" s="1" t="str">
        <f>+IFERROR(IF(Tabla3[[#This Row],[Cilindros totales pendientes]]&gt;0,1,""),"")</f>
        <v/>
      </c>
    </row>
    <row r="1170" spans="22:22" x14ac:dyDescent="0.25">
      <c r="V1170" s="1" t="str">
        <f>+IFERROR(IF(Tabla3[[#This Row],[Cilindros totales pendientes]]&gt;0,1,""),"")</f>
        <v/>
      </c>
    </row>
    <row r="1171" spans="22:22" x14ac:dyDescent="0.25">
      <c r="V1171" s="1" t="str">
        <f>+IFERROR(IF(Tabla3[[#This Row],[Cilindros totales pendientes]]&gt;0,1,""),"")</f>
        <v/>
      </c>
    </row>
    <row r="1172" spans="22:22" x14ac:dyDescent="0.25">
      <c r="V1172" s="1" t="str">
        <f>+IFERROR(IF(Tabla3[[#This Row],[Cilindros totales pendientes]]&gt;0,1,""),"")</f>
        <v/>
      </c>
    </row>
    <row r="1173" spans="22:22" x14ac:dyDescent="0.25">
      <c r="V1173" s="1" t="str">
        <f>+IFERROR(IF(Tabla3[[#This Row],[Cilindros totales pendientes]]&gt;0,1,""),"")</f>
        <v/>
      </c>
    </row>
    <row r="1174" spans="22:22" x14ac:dyDescent="0.25">
      <c r="V1174" s="1" t="str">
        <f>+IFERROR(IF(Tabla3[[#This Row],[Cilindros totales pendientes]]&gt;0,1,""),"")</f>
        <v/>
      </c>
    </row>
    <row r="1175" spans="22:22" x14ac:dyDescent="0.25">
      <c r="V1175" s="1" t="str">
        <f>+IFERROR(IF(Tabla3[[#This Row],[Cilindros totales pendientes]]&gt;0,1,""),"")</f>
        <v/>
      </c>
    </row>
    <row r="1176" spans="22:22" x14ac:dyDescent="0.25">
      <c r="V1176" s="1" t="str">
        <f>+IFERROR(IF(Tabla3[[#This Row],[Cilindros totales pendientes]]&gt;0,1,""),"")</f>
        <v/>
      </c>
    </row>
    <row r="1177" spans="22:22" x14ac:dyDescent="0.25">
      <c r="V1177" s="1" t="str">
        <f>+IFERROR(IF(Tabla3[[#This Row],[Cilindros totales pendientes]]&gt;0,1,""),"")</f>
        <v/>
      </c>
    </row>
    <row r="1178" spans="22:22" x14ac:dyDescent="0.25">
      <c r="V1178" s="1" t="str">
        <f>+IFERROR(IF(Tabla3[[#This Row],[Cilindros totales pendientes]]&gt;0,1,""),"")</f>
        <v/>
      </c>
    </row>
    <row r="1179" spans="22:22" x14ac:dyDescent="0.25">
      <c r="V1179" s="1" t="str">
        <f>+IFERROR(IF(Tabla3[[#This Row],[Cilindros totales pendientes]]&gt;0,1,""),"")</f>
        <v/>
      </c>
    </row>
    <row r="1180" spans="22:22" x14ac:dyDescent="0.25">
      <c r="V1180" s="1" t="str">
        <f>+IFERROR(IF(Tabla3[[#This Row],[Cilindros totales pendientes]]&gt;0,1,""),"")</f>
        <v/>
      </c>
    </row>
    <row r="1181" spans="22:22" x14ac:dyDescent="0.25">
      <c r="V1181" s="1" t="str">
        <f>+IFERROR(IF(Tabla3[[#This Row],[Cilindros totales pendientes]]&gt;0,1,""),"")</f>
        <v/>
      </c>
    </row>
    <row r="1182" spans="22:22" x14ac:dyDescent="0.25">
      <c r="V1182" s="1" t="str">
        <f>+IFERROR(IF(Tabla3[[#This Row],[Cilindros totales pendientes]]&gt;0,1,""),"")</f>
        <v/>
      </c>
    </row>
    <row r="1183" spans="22:22" x14ac:dyDescent="0.25">
      <c r="V1183" s="1" t="str">
        <f>+IFERROR(IF(Tabla3[[#This Row],[Cilindros totales pendientes]]&gt;0,1,""),"")</f>
        <v/>
      </c>
    </row>
    <row r="1184" spans="22:22" x14ac:dyDescent="0.25">
      <c r="V1184" s="1" t="str">
        <f>+IFERROR(IF(Tabla3[[#This Row],[Cilindros totales pendientes]]&gt;0,1,""),"")</f>
        <v/>
      </c>
    </row>
    <row r="1185" spans="22:22" x14ac:dyDescent="0.25">
      <c r="V1185" s="1" t="str">
        <f>+IFERROR(IF(Tabla3[[#This Row],[Cilindros totales pendientes]]&gt;0,1,""),"")</f>
        <v/>
      </c>
    </row>
    <row r="1186" spans="22:22" x14ac:dyDescent="0.25">
      <c r="V1186" s="1" t="str">
        <f>+IFERROR(IF(Tabla3[[#This Row],[Cilindros totales pendientes]]&gt;0,1,""),"")</f>
        <v/>
      </c>
    </row>
    <row r="1187" spans="22:22" x14ac:dyDescent="0.25">
      <c r="V1187" s="1" t="str">
        <f>+IFERROR(IF(Tabla3[[#This Row],[Cilindros totales pendientes]]&gt;0,1,""),"")</f>
        <v/>
      </c>
    </row>
    <row r="1188" spans="22:22" x14ac:dyDescent="0.25">
      <c r="V1188" s="1" t="str">
        <f>+IFERROR(IF(Tabla3[[#This Row],[Cilindros totales pendientes]]&gt;0,1,""),"")</f>
        <v/>
      </c>
    </row>
    <row r="1189" spans="22:22" x14ac:dyDescent="0.25">
      <c r="V1189" s="1" t="str">
        <f>+IFERROR(IF(Tabla3[[#This Row],[Cilindros totales pendientes]]&gt;0,1,""),"")</f>
        <v/>
      </c>
    </row>
    <row r="1190" spans="22:22" x14ac:dyDescent="0.25">
      <c r="V1190" s="1" t="str">
        <f>+IFERROR(IF(Tabla3[[#This Row],[Cilindros totales pendientes]]&gt;0,1,""),"")</f>
        <v/>
      </c>
    </row>
    <row r="1191" spans="22:22" x14ac:dyDescent="0.25">
      <c r="V1191" s="1" t="str">
        <f>+IFERROR(IF(Tabla3[[#This Row],[Cilindros totales pendientes]]&gt;0,1,""),"")</f>
        <v/>
      </c>
    </row>
    <row r="1192" spans="22:22" x14ac:dyDescent="0.25">
      <c r="V1192" s="1" t="str">
        <f>+IFERROR(IF(Tabla3[[#This Row],[Cilindros totales pendientes]]&gt;0,1,""),"")</f>
        <v/>
      </c>
    </row>
    <row r="1193" spans="22:22" x14ac:dyDescent="0.25">
      <c r="V1193" s="1" t="str">
        <f>+IFERROR(IF(Tabla3[[#This Row],[Cilindros totales pendientes]]&gt;0,1,""),"")</f>
        <v/>
      </c>
    </row>
    <row r="1194" spans="22:22" x14ac:dyDescent="0.25">
      <c r="V1194" s="1" t="str">
        <f>+IFERROR(IF(Tabla3[[#This Row],[Cilindros totales pendientes]]&gt;0,1,""),"")</f>
        <v/>
      </c>
    </row>
    <row r="1195" spans="22:22" x14ac:dyDescent="0.25">
      <c r="V1195" s="1" t="str">
        <f>+IFERROR(IF(Tabla3[[#This Row],[Cilindros totales pendientes]]&gt;0,1,""),"")</f>
        <v/>
      </c>
    </row>
    <row r="1196" spans="22:22" x14ac:dyDescent="0.25">
      <c r="V1196" s="1" t="str">
        <f>+IFERROR(IF(Tabla3[[#This Row],[Cilindros totales pendientes]]&gt;0,1,""),"")</f>
        <v/>
      </c>
    </row>
    <row r="1197" spans="22:22" x14ac:dyDescent="0.25">
      <c r="V1197" s="1" t="str">
        <f>+IFERROR(IF(Tabla3[[#This Row],[Cilindros totales pendientes]]&gt;0,1,""),"")</f>
        <v/>
      </c>
    </row>
    <row r="1198" spans="22:22" x14ac:dyDescent="0.25">
      <c r="V1198" s="1" t="str">
        <f>+IFERROR(IF(Tabla3[[#This Row],[Cilindros totales pendientes]]&gt;0,1,""),"")</f>
        <v/>
      </c>
    </row>
    <row r="1199" spans="22:22" x14ac:dyDescent="0.25">
      <c r="V1199" s="1" t="str">
        <f>+IFERROR(IF(Tabla3[[#This Row],[Cilindros totales pendientes]]&gt;0,1,""),"")</f>
        <v/>
      </c>
    </row>
    <row r="1200" spans="22:22" x14ac:dyDescent="0.25">
      <c r="V1200" s="1" t="str">
        <f>+IFERROR(IF(Tabla3[[#This Row],[Cilindros totales pendientes]]&gt;0,1,""),"")</f>
        <v/>
      </c>
    </row>
    <row r="1201" spans="22:22" x14ac:dyDescent="0.25">
      <c r="V1201" s="1" t="str">
        <f>+IFERROR(IF(Tabla3[[#This Row],[Cilindros totales pendientes]]&gt;0,1,""),"")</f>
        <v/>
      </c>
    </row>
    <row r="1202" spans="22:22" x14ac:dyDescent="0.25">
      <c r="V1202" s="1" t="str">
        <f>+IFERROR(IF(Tabla3[[#This Row],[Cilindros totales pendientes]]&gt;0,1,""),"")</f>
        <v/>
      </c>
    </row>
    <row r="1203" spans="22:22" x14ac:dyDescent="0.25">
      <c r="V1203" s="1" t="str">
        <f>+IFERROR(IF(Tabla3[[#This Row],[Cilindros totales pendientes]]&gt;0,1,""),"")</f>
        <v/>
      </c>
    </row>
    <row r="1204" spans="22:22" x14ac:dyDescent="0.25">
      <c r="V1204" s="1" t="str">
        <f>+IFERROR(IF(Tabla3[[#This Row],[Cilindros totales pendientes]]&gt;0,1,""),"")</f>
        <v/>
      </c>
    </row>
    <row r="1205" spans="22:22" x14ac:dyDescent="0.25">
      <c r="V1205" s="1" t="str">
        <f>+IFERROR(IF(Tabla3[[#This Row],[Cilindros totales pendientes]]&gt;0,1,""),"")</f>
        <v/>
      </c>
    </row>
    <row r="1206" spans="22:22" x14ac:dyDescent="0.25">
      <c r="V1206" s="1" t="str">
        <f>+IFERROR(IF(Tabla3[[#This Row],[Cilindros totales pendientes]]&gt;0,1,""),"")</f>
        <v/>
      </c>
    </row>
    <row r="1207" spans="22:22" x14ac:dyDescent="0.25">
      <c r="V1207" s="1" t="str">
        <f>+IFERROR(IF(Tabla3[[#This Row],[Cilindros totales pendientes]]&gt;0,1,""),"")</f>
        <v/>
      </c>
    </row>
    <row r="1208" spans="22:22" x14ac:dyDescent="0.25">
      <c r="V1208" s="1" t="str">
        <f>+IFERROR(IF(Tabla3[[#This Row],[Cilindros totales pendientes]]&gt;0,1,""),"")</f>
        <v/>
      </c>
    </row>
    <row r="1209" spans="22:22" x14ac:dyDescent="0.25">
      <c r="V1209" s="1" t="str">
        <f>+IFERROR(IF(Tabla3[[#This Row],[Cilindros totales pendientes]]&gt;0,1,""),"")</f>
        <v/>
      </c>
    </row>
    <row r="1210" spans="22:22" x14ac:dyDescent="0.25">
      <c r="V1210" s="1" t="str">
        <f>+IFERROR(IF(Tabla3[[#This Row],[Cilindros totales pendientes]]&gt;0,1,""),"")</f>
        <v/>
      </c>
    </row>
    <row r="1211" spans="22:22" x14ac:dyDescent="0.25">
      <c r="V1211" s="1" t="str">
        <f>+IFERROR(IF(Tabla3[[#This Row],[Cilindros totales pendientes]]&gt;0,1,""),"")</f>
        <v/>
      </c>
    </row>
    <row r="1212" spans="22:22" x14ac:dyDescent="0.25">
      <c r="V1212" s="1" t="str">
        <f>+IFERROR(IF(Tabla3[[#This Row],[Cilindros totales pendientes]]&gt;0,1,""),"")</f>
        <v/>
      </c>
    </row>
    <row r="1213" spans="22:22" x14ac:dyDescent="0.25">
      <c r="V1213" s="1" t="str">
        <f>+IFERROR(IF(Tabla3[[#This Row],[Cilindros totales pendientes]]&gt;0,1,""),"")</f>
        <v/>
      </c>
    </row>
    <row r="1214" spans="22:22" x14ac:dyDescent="0.25">
      <c r="V1214" s="1" t="str">
        <f>+IFERROR(IF(Tabla3[[#This Row],[Cilindros totales pendientes]]&gt;0,1,""),"")</f>
        <v/>
      </c>
    </row>
    <row r="1215" spans="22:22" x14ac:dyDescent="0.25">
      <c r="V1215" s="1" t="str">
        <f>+IFERROR(IF(Tabla3[[#This Row],[Cilindros totales pendientes]]&gt;0,1,""),"")</f>
        <v/>
      </c>
    </row>
    <row r="1216" spans="22:22" x14ac:dyDescent="0.25">
      <c r="V1216" s="1" t="str">
        <f>+IFERROR(IF(Tabla3[[#This Row],[Cilindros totales pendientes]]&gt;0,1,""),"")</f>
        <v/>
      </c>
    </row>
    <row r="1217" spans="22:22" x14ac:dyDescent="0.25">
      <c r="V1217" s="1" t="str">
        <f>+IFERROR(IF(Tabla3[[#This Row],[Cilindros totales pendientes]]&gt;0,1,""),"")</f>
        <v/>
      </c>
    </row>
    <row r="1218" spans="22:22" x14ac:dyDescent="0.25">
      <c r="V1218" s="1" t="str">
        <f>+IFERROR(IF(Tabla3[[#This Row],[Cilindros totales pendientes]]&gt;0,1,""),"")</f>
        <v/>
      </c>
    </row>
    <row r="1219" spans="22:22" x14ac:dyDescent="0.25">
      <c r="V1219" s="1" t="str">
        <f>+IFERROR(IF(Tabla3[[#This Row],[Cilindros totales pendientes]]&gt;0,1,""),"")</f>
        <v/>
      </c>
    </row>
    <row r="1220" spans="22:22" x14ac:dyDescent="0.25">
      <c r="V1220" s="1" t="str">
        <f>+IFERROR(IF(Tabla3[[#This Row],[Cilindros totales pendientes]]&gt;0,1,""),"")</f>
        <v/>
      </c>
    </row>
    <row r="1221" spans="22:22" x14ac:dyDescent="0.25">
      <c r="V1221" s="1" t="str">
        <f>+IFERROR(IF(Tabla3[[#This Row],[Cilindros totales pendientes]]&gt;0,1,""),"")</f>
        <v/>
      </c>
    </row>
    <row r="1222" spans="22:22" x14ac:dyDescent="0.25">
      <c r="V1222" s="1" t="str">
        <f>+IFERROR(IF(Tabla3[[#This Row],[Cilindros totales pendientes]]&gt;0,1,""),"")</f>
        <v/>
      </c>
    </row>
    <row r="1223" spans="22:22" x14ac:dyDescent="0.25">
      <c r="V1223" s="1" t="str">
        <f>+IFERROR(IF(Tabla3[[#This Row],[Cilindros totales pendientes]]&gt;0,1,""),"")</f>
        <v/>
      </c>
    </row>
    <row r="1224" spans="22:22" x14ac:dyDescent="0.25">
      <c r="V1224" s="1" t="str">
        <f>+IFERROR(IF(Tabla3[[#This Row],[Cilindros totales pendientes]]&gt;0,1,""),"")</f>
        <v/>
      </c>
    </row>
    <row r="1225" spans="22:22" x14ac:dyDescent="0.25">
      <c r="V1225" s="1" t="str">
        <f>+IFERROR(IF(Tabla3[[#This Row],[Cilindros totales pendientes]]&gt;0,1,""),"")</f>
        <v/>
      </c>
    </row>
    <row r="1226" spans="22:22" x14ac:dyDescent="0.25">
      <c r="V1226" s="1" t="str">
        <f>+IFERROR(IF(Tabla3[[#This Row],[Cilindros totales pendientes]]&gt;0,1,""),"")</f>
        <v/>
      </c>
    </row>
    <row r="1227" spans="22:22" x14ac:dyDescent="0.25">
      <c r="V1227" s="1" t="str">
        <f>+IFERROR(IF(Tabla3[[#This Row],[Cilindros totales pendientes]]&gt;0,1,""),"")</f>
        <v/>
      </c>
    </row>
    <row r="1228" spans="22:22" x14ac:dyDescent="0.25">
      <c r="V1228" s="1" t="str">
        <f>+IFERROR(IF(Tabla3[[#This Row],[Cilindros totales pendientes]]&gt;0,1,""),"")</f>
        <v/>
      </c>
    </row>
    <row r="1229" spans="22:22" x14ac:dyDescent="0.25">
      <c r="V1229" s="1" t="str">
        <f>+IFERROR(IF(Tabla3[[#This Row],[Cilindros totales pendientes]]&gt;0,1,""),"")</f>
        <v/>
      </c>
    </row>
    <row r="1230" spans="22:22" x14ac:dyDescent="0.25">
      <c r="V1230" s="1" t="str">
        <f>+IFERROR(IF(Tabla3[[#This Row],[Cilindros totales pendientes]]&gt;0,1,""),"")</f>
        <v/>
      </c>
    </row>
    <row r="1231" spans="22:22" x14ac:dyDescent="0.25">
      <c r="V1231" s="1" t="str">
        <f>+IFERROR(IF(Tabla3[[#This Row],[Cilindros totales pendientes]]&gt;0,1,""),"")</f>
        <v/>
      </c>
    </row>
    <row r="1232" spans="22:22" x14ac:dyDescent="0.25">
      <c r="V1232" s="1" t="str">
        <f>+IFERROR(IF(Tabla3[[#This Row],[Cilindros totales pendientes]]&gt;0,1,""),"")</f>
        <v/>
      </c>
    </row>
    <row r="1233" spans="22:22" x14ac:dyDescent="0.25">
      <c r="V1233" s="1" t="str">
        <f>+IFERROR(IF(Tabla3[[#This Row],[Cilindros totales pendientes]]&gt;0,1,""),"")</f>
        <v/>
      </c>
    </row>
    <row r="1234" spans="22:22" x14ac:dyDescent="0.25">
      <c r="V1234" s="1" t="str">
        <f>+IFERROR(IF(Tabla3[[#This Row],[Cilindros totales pendientes]]&gt;0,1,""),"")</f>
        <v/>
      </c>
    </row>
    <row r="1235" spans="22:22" x14ac:dyDescent="0.25">
      <c r="V1235" s="1" t="str">
        <f>+IFERROR(IF(Tabla3[[#This Row],[Cilindros totales pendientes]]&gt;0,1,""),"")</f>
        <v/>
      </c>
    </row>
    <row r="1236" spans="22:22" x14ac:dyDescent="0.25">
      <c r="V1236" s="1" t="str">
        <f>+IFERROR(IF(Tabla3[[#This Row],[Cilindros totales pendientes]]&gt;0,1,""),"")</f>
        <v/>
      </c>
    </row>
    <row r="1237" spans="22:22" x14ac:dyDescent="0.25">
      <c r="V1237" s="1" t="str">
        <f>+IFERROR(IF(Tabla3[[#This Row],[Cilindros totales pendientes]]&gt;0,1,""),"")</f>
        <v/>
      </c>
    </row>
    <row r="1238" spans="22:22" x14ac:dyDescent="0.25">
      <c r="V1238" s="1" t="str">
        <f>+IFERROR(IF(Tabla3[[#This Row],[Cilindros totales pendientes]]&gt;0,1,""),"")</f>
        <v/>
      </c>
    </row>
    <row r="1239" spans="22:22" x14ac:dyDescent="0.25">
      <c r="V1239" s="1" t="str">
        <f>+IFERROR(IF(Tabla3[[#This Row],[Cilindros totales pendientes]]&gt;0,1,""),"")</f>
        <v/>
      </c>
    </row>
    <row r="1240" spans="22:22" x14ac:dyDescent="0.25">
      <c r="V1240" s="1" t="str">
        <f>+IFERROR(IF(Tabla3[[#This Row],[Cilindros totales pendientes]]&gt;0,1,""),"")</f>
        <v/>
      </c>
    </row>
    <row r="1241" spans="22:22" x14ac:dyDescent="0.25">
      <c r="V1241" s="1" t="str">
        <f>+IFERROR(IF(Tabla3[[#This Row],[Cilindros totales pendientes]]&gt;0,1,""),"")</f>
        <v/>
      </c>
    </row>
    <row r="1242" spans="22:22" x14ac:dyDescent="0.25">
      <c r="V1242" s="1" t="str">
        <f>+IFERROR(IF(Tabla3[[#This Row],[Cilindros totales pendientes]]&gt;0,1,""),"")</f>
        <v/>
      </c>
    </row>
    <row r="1243" spans="22:22" x14ac:dyDescent="0.25">
      <c r="V1243" s="1" t="str">
        <f>+IFERROR(IF(Tabla3[[#This Row],[Cilindros totales pendientes]]&gt;0,1,""),"")</f>
        <v/>
      </c>
    </row>
    <row r="1244" spans="22:22" x14ac:dyDescent="0.25">
      <c r="V1244" s="1" t="str">
        <f>+IFERROR(IF(Tabla3[[#This Row],[Cilindros totales pendientes]]&gt;0,1,""),"")</f>
        <v/>
      </c>
    </row>
    <row r="1245" spans="22:22" x14ac:dyDescent="0.25">
      <c r="V1245" s="1" t="str">
        <f>+IFERROR(IF(Tabla3[[#This Row],[Cilindros totales pendientes]]&gt;0,1,""),"")</f>
        <v/>
      </c>
    </row>
    <row r="1246" spans="22:22" x14ac:dyDescent="0.25">
      <c r="V1246" s="1" t="str">
        <f>+IFERROR(IF(Tabla3[[#This Row],[Cilindros totales pendientes]]&gt;0,1,""),"")</f>
        <v/>
      </c>
    </row>
    <row r="1247" spans="22:22" x14ac:dyDescent="0.25">
      <c r="V1247" s="1" t="str">
        <f>+IFERROR(IF(Tabla3[[#This Row],[Cilindros totales pendientes]]&gt;0,1,""),"")</f>
        <v/>
      </c>
    </row>
    <row r="1248" spans="22:22" x14ac:dyDescent="0.25">
      <c r="V1248" s="1" t="str">
        <f>+IFERROR(IF(Tabla3[[#This Row],[Cilindros totales pendientes]]&gt;0,1,""),"")</f>
        <v/>
      </c>
    </row>
    <row r="1249" spans="22:22" x14ac:dyDescent="0.25">
      <c r="V1249" s="1" t="str">
        <f>+IFERROR(IF(Tabla3[[#This Row],[Cilindros totales pendientes]]&gt;0,1,""),"")</f>
        <v/>
      </c>
    </row>
    <row r="1250" spans="22:22" x14ac:dyDescent="0.25">
      <c r="V1250" s="1" t="str">
        <f>+IFERROR(IF(Tabla3[[#This Row],[Cilindros totales pendientes]]&gt;0,1,""),"")</f>
        <v/>
      </c>
    </row>
    <row r="1251" spans="22:22" x14ac:dyDescent="0.25">
      <c r="V1251" s="1" t="str">
        <f>+IFERROR(IF(Tabla3[[#This Row],[Cilindros totales pendientes]]&gt;0,1,""),"")</f>
        <v/>
      </c>
    </row>
    <row r="1252" spans="22:22" x14ac:dyDescent="0.25">
      <c r="V1252" s="1" t="str">
        <f>+IFERROR(IF(Tabla3[[#This Row],[Cilindros totales pendientes]]&gt;0,1,""),"")</f>
        <v/>
      </c>
    </row>
    <row r="1253" spans="22:22" x14ac:dyDescent="0.25">
      <c r="V1253" s="1" t="str">
        <f>+IFERROR(IF(Tabla3[[#This Row],[Cilindros totales pendientes]]&gt;0,1,""),"")</f>
        <v/>
      </c>
    </row>
    <row r="1254" spans="22:22" x14ac:dyDescent="0.25">
      <c r="V1254" s="1" t="str">
        <f>+IFERROR(IF(Tabla3[[#This Row],[Cilindros totales pendientes]]&gt;0,1,""),"")</f>
        <v/>
      </c>
    </row>
    <row r="1255" spans="22:22" x14ac:dyDescent="0.25">
      <c r="V1255" s="1" t="str">
        <f>+IFERROR(IF(Tabla3[[#This Row],[Cilindros totales pendientes]]&gt;0,1,""),"")</f>
        <v/>
      </c>
    </row>
    <row r="1256" spans="22:22" x14ac:dyDescent="0.25">
      <c r="V1256" s="1" t="str">
        <f>+IFERROR(IF(Tabla3[[#This Row],[Cilindros totales pendientes]]&gt;0,1,""),"")</f>
        <v/>
      </c>
    </row>
    <row r="1257" spans="22:22" x14ac:dyDescent="0.25">
      <c r="V1257" s="1" t="str">
        <f>+IFERROR(IF(Tabla3[[#This Row],[Cilindros totales pendientes]]&gt;0,1,""),"")</f>
        <v/>
      </c>
    </row>
    <row r="1258" spans="22:22" x14ac:dyDescent="0.25">
      <c r="V1258" s="1" t="str">
        <f>+IFERROR(IF(Tabla3[[#This Row],[Cilindros totales pendientes]]&gt;0,1,""),"")</f>
        <v/>
      </c>
    </row>
    <row r="1259" spans="22:22" x14ac:dyDescent="0.25">
      <c r="V1259" s="1" t="str">
        <f>+IFERROR(IF(Tabla3[[#This Row],[Cilindros totales pendientes]]&gt;0,1,""),"")</f>
        <v/>
      </c>
    </row>
    <row r="1260" spans="22:22" x14ac:dyDescent="0.25">
      <c r="V1260" s="1" t="str">
        <f>+IFERROR(IF(Tabla3[[#This Row],[Cilindros totales pendientes]]&gt;0,1,""),"")</f>
        <v/>
      </c>
    </row>
    <row r="1261" spans="22:22" x14ac:dyDescent="0.25">
      <c r="V1261" s="1" t="str">
        <f>+IFERROR(IF(Tabla3[[#This Row],[Cilindros totales pendientes]]&gt;0,1,""),"")</f>
        <v/>
      </c>
    </row>
    <row r="1262" spans="22:22" x14ac:dyDescent="0.25">
      <c r="V1262" s="1" t="str">
        <f>+IFERROR(IF(Tabla3[[#This Row],[Cilindros totales pendientes]]&gt;0,1,""),"")</f>
        <v/>
      </c>
    </row>
    <row r="1263" spans="22:22" x14ac:dyDescent="0.25">
      <c r="V1263" s="1" t="str">
        <f>+IFERROR(IF(Tabla3[[#This Row],[Cilindros totales pendientes]]&gt;0,1,""),"")</f>
        <v/>
      </c>
    </row>
    <row r="1264" spans="22:22" x14ac:dyDescent="0.25">
      <c r="V1264" s="1" t="str">
        <f>+IFERROR(IF(Tabla3[[#This Row],[Cilindros totales pendientes]]&gt;0,1,""),"")</f>
        <v/>
      </c>
    </row>
    <row r="1265" spans="22:22" x14ac:dyDescent="0.25">
      <c r="V1265" s="1" t="str">
        <f>+IFERROR(IF(Tabla3[[#This Row],[Cilindros totales pendientes]]&gt;0,1,""),"")</f>
        <v/>
      </c>
    </row>
    <row r="1266" spans="22:22" x14ac:dyDescent="0.25">
      <c r="V1266" s="1" t="str">
        <f>+IFERROR(IF(Tabla3[[#This Row],[Cilindros totales pendientes]]&gt;0,1,""),"")</f>
        <v/>
      </c>
    </row>
    <row r="1267" spans="22:22" x14ac:dyDescent="0.25">
      <c r="V1267" s="1" t="str">
        <f>+IFERROR(IF(Tabla3[[#This Row],[Cilindros totales pendientes]]&gt;0,1,""),"")</f>
        <v/>
      </c>
    </row>
    <row r="1268" spans="22:22" x14ac:dyDescent="0.25">
      <c r="V1268" s="1" t="str">
        <f>+IFERROR(IF(Tabla3[[#This Row],[Cilindros totales pendientes]]&gt;0,1,""),"")</f>
        <v/>
      </c>
    </row>
    <row r="1269" spans="22:22" x14ac:dyDescent="0.25">
      <c r="V1269" s="1" t="str">
        <f>+IFERROR(IF(Tabla3[[#This Row],[Cilindros totales pendientes]]&gt;0,1,""),"")</f>
        <v/>
      </c>
    </row>
    <row r="1270" spans="22:22" x14ac:dyDescent="0.25">
      <c r="V1270" s="1" t="str">
        <f>+IFERROR(IF(Tabla3[[#This Row],[Cilindros totales pendientes]]&gt;0,1,""),"")</f>
        <v/>
      </c>
    </row>
    <row r="1271" spans="22:22" x14ac:dyDescent="0.25">
      <c r="V1271" s="1" t="str">
        <f>+IFERROR(IF(Tabla3[[#This Row],[Cilindros totales pendientes]]&gt;0,1,""),"")</f>
        <v/>
      </c>
    </row>
    <row r="1272" spans="22:22" x14ac:dyDescent="0.25">
      <c r="V1272" s="1" t="str">
        <f>+IFERROR(IF(Tabla3[[#This Row],[Cilindros totales pendientes]]&gt;0,1,""),"")</f>
        <v/>
      </c>
    </row>
    <row r="1273" spans="22:22" x14ac:dyDescent="0.25">
      <c r="V1273" s="1" t="str">
        <f>+IFERROR(IF(Tabla3[[#This Row],[Cilindros totales pendientes]]&gt;0,1,""),"")</f>
        <v/>
      </c>
    </row>
    <row r="1274" spans="22:22" x14ac:dyDescent="0.25">
      <c r="V1274" s="1" t="str">
        <f>+IFERROR(IF(Tabla3[[#This Row],[Cilindros totales pendientes]]&gt;0,1,""),"")</f>
        <v/>
      </c>
    </row>
    <row r="1275" spans="22:22" x14ac:dyDescent="0.25">
      <c r="V1275" s="1" t="str">
        <f>+IFERROR(IF(Tabla3[[#This Row],[Cilindros totales pendientes]]&gt;0,1,""),"")</f>
        <v/>
      </c>
    </row>
    <row r="1276" spans="22:22" x14ac:dyDescent="0.25">
      <c r="V1276" s="1" t="str">
        <f>+IFERROR(IF(Tabla3[[#This Row],[Cilindros totales pendientes]]&gt;0,1,""),"")</f>
        <v/>
      </c>
    </row>
    <row r="1277" spans="22:22" x14ac:dyDescent="0.25">
      <c r="V1277" s="1" t="str">
        <f>+IFERROR(IF(Tabla3[[#This Row],[Cilindros totales pendientes]]&gt;0,1,""),"")</f>
        <v/>
      </c>
    </row>
    <row r="1278" spans="22:22" x14ac:dyDescent="0.25">
      <c r="V1278" s="1" t="str">
        <f>+IFERROR(IF(Tabla3[[#This Row],[Cilindros totales pendientes]]&gt;0,1,""),"")</f>
        <v/>
      </c>
    </row>
    <row r="1279" spans="22:22" x14ac:dyDescent="0.25">
      <c r="V1279" s="1" t="str">
        <f>+IFERROR(IF(Tabla3[[#This Row],[Cilindros totales pendientes]]&gt;0,1,""),"")</f>
        <v/>
      </c>
    </row>
    <row r="1280" spans="22:22" x14ac:dyDescent="0.25">
      <c r="V1280" s="1" t="str">
        <f>+IFERROR(IF(Tabla3[[#This Row],[Cilindros totales pendientes]]&gt;0,1,""),"")</f>
        <v/>
      </c>
    </row>
    <row r="1281" spans="22:22" x14ac:dyDescent="0.25">
      <c r="V1281" s="1" t="str">
        <f>+IFERROR(IF(Tabla3[[#This Row],[Cilindros totales pendientes]]&gt;0,1,""),"")</f>
        <v/>
      </c>
    </row>
    <row r="1282" spans="22:22" x14ac:dyDescent="0.25">
      <c r="V1282" s="1" t="str">
        <f>+IFERROR(IF(Tabla3[[#This Row],[Cilindros totales pendientes]]&gt;0,1,""),"")</f>
        <v/>
      </c>
    </row>
    <row r="1283" spans="22:22" x14ac:dyDescent="0.25">
      <c r="V1283" s="1" t="str">
        <f>+IFERROR(IF(Tabla3[[#This Row],[Cilindros totales pendientes]]&gt;0,1,""),"")</f>
        <v/>
      </c>
    </row>
    <row r="1284" spans="22:22" x14ac:dyDescent="0.25">
      <c r="V1284" s="1" t="str">
        <f>+IFERROR(IF(Tabla3[[#This Row],[Cilindros totales pendientes]]&gt;0,1,""),"")</f>
        <v/>
      </c>
    </row>
    <row r="1285" spans="22:22" x14ac:dyDescent="0.25">
      <c r="V1285" s="1" t="str">
        <f>+IFERROR(IF(Tabla3[[#This Row],[Cilindros totales pendientes]]&gt;0,1,""),"")</f>
        <v/>
      </c>
    </row>
    <row r="1286" spans="22:22" x14ac:dyDescent="0.25">
      <c r="V1286" s="1" t="str">
        <f>+IFERROR(IF(Tabla3[[#This Row],[Cilindros totales pendientes]]&gt;0,1,""),"")</f>
        <v/>
      </c>
    </row>
    <row r="1287" spans="22:22" x14ac:dyDescent="0.25">
      <c r="V1287" s="1" t="str">
        <f>+IFERROR(IF(Tabla3[[#This Row],[Cilindros totales pendientes]]&gt;0,1,""),"")</f>
        <v/>
      </c>
    </row>
    <row r="1288" spans="22:22" x14ac:dyDescent="0.25">
      <c r="V1288" s="1" t="str">
        <f>+IFERROR(IF(Tabla3[[#This Row],[Cilindros totales pendientes]]&gt;0,1,""),"")</f>
        <v/>
      </c>
    </row>
    <row r="1289" spans="22:22" x14ac:dyDescent="0.25">
      <c r="V1289" s="1" t="str">
        <f>+IFERROR(IF(Tabla3[[#This Row],[Cilindros totales pendientes]]&gt;0,1,""),"")</f>
        <v/>
      </c>
    </row>
    <row r="1290" spans="22:22" x14ac:dyDescent="0.25">
      <c r="V1290" s="1" t="str">
        <f>+IFERROR(IF(Tabla3[[#This Row],[Cilindros totales pendientes]]&gt;0,1,""),"")</f>
        <v/>
      </c>
    </row>
    <row r="1291" spans="22:22" x14ac:dyDescent="0.25">
      <c r="V1291" s="1" t="str">
        <f>+IFERROR(IF(Tabla3[[#This Row],[Cilindros totales pendientes]]&gt;0,1,""),"")</f>
        <v/>
      </c>
    </row>
    <row r="1292" spans="22:22" x14ac:dyDescent="0.25">
      <c r="V1292" s="1" t="str">
        <f>+IFERROR(IF(Tabla3[[#This Row],[Cilindros totales pendientes]]&gt;0,1,""),"")</f>
        <v/>
      </c>
    </row>
    <row r="1293" spans="22:22" x14ac:dyDescent="0.25">
      <c r="V1293" s="1" t="str">
        <f>+IFERROR(IF(Tabla3[[#This Row],[Cilindros totales pendientes]]&gt;0,1,""),"")</f>
        <v/>
      </c>
    </row>
    <row r="1294" spans="22:22" x14ac:dyDescent="0.25">
      <c r="V1294" s="1" t="str">
        <f>+IFERROR(IF(Tabla3[[#This Row],[Cilindros totales pendientes]]&gt;0,1,""),"")</f>
        <v/>
      </c>
    </row>
    <row r="1295" spans="22:22" x14ac:dyDescent="0.25">
      <c r="V1295" s="1" t="str">
        <f>+IFERROR(IF(Tabla3[[#This Row],[Cilindros totales pendientes]]&gt;0,1,""),"")</f>
        <v/>
      </c>
    </row>
    <row r="1296" spans="22:22" x14ac:dyDescent="0.25">
      <c r="V1296" s="1" t="str">
        <f>+IFERROR(IF(Tabla3[[#This Row],[Cilindros totales pendientes]]&gt;0,1,""),"")</f>
        <v/>
      </c>
    </row>
    <row r="1297" spans="22:22" x14ac:dyDescent="0.25">
      <c r="V1297" s="1" t="str">
        <f>+IFERROR(IF(Tabla3[[#This Row],[Cilindros totales pendientes]]&gt;0,1,""),"")</f>
        <v/>
      </c>
    </row>
    <row r="1298" spans="22:22" x14ac:dyDescent="0.25">
      <c r="V1298" s="1" t="str">
        <f>+IFERROR(IF(Tabla3[[#This Row],[Cilindros totales pendientes]]&gt;0,1,""),"")</f>
        <v/>
      </c>
    </row>
    <row r="1299" spans="22:22" x14ac:dyDescent="0.25">
      <c r="V1299" s="1" t="str">
        <f>+IFERROR(IF(Tabla3[[#This Row],[Cilindros totales pendientes]]&gt;0,1,""),"")</f>
        <v/>
      </c>
    </row>
    <row r="1300" spans="22:22" x14ac:dyDescent="0.25">
      <c r="V1300" s="1" t="str">
        <f>+IFERROR(IF(Tabla3[[#This Row],[Cilindros totales pendientes]]&gt;0,1,""),"")</f>
        <v/>
      </c>
    </row>
    <row r="1301" spans="22:22" x14ac:dyDescent="0.25">
      <c r="V1301" s="1" t="str">
        <f>+IFERROR(IF(Tabla3[[#This Row],[Cilindros totales pendientes]]&gt;0,1,""),"")</f>
        <v/>
      </c>
    </row>
    <row r="1302" spans="22:22" x14ac:dyDescent="0.25">
      <c r="V1302" s="1" t="str">
        <f>+IFERROR(IF(Tabla3[[#This Row],[Cilindros totales pendientes]]&gt;0,1,""),"")</f>
        <v/>
      </c>
    </row>
    <row r="1303" spans="22:22" x14ac:dyDescent="0.25">
      <c r="V1303" s="1" t="str">
        <f>+IFERROR(IF(Tabla3[[#This Row],[Cilindros totales pendientes]]&gt;0,1,""),"")</f>
        <v/>
      </c>
    </row>
    <row r="1304" spans="22:22" x14ac:dyDescent="0.25">
      <c r="V1304" s="1" t="str">
        <f>+IFERROR(IF(Tabla3[[#This Row],[Cilindros totales pendientes]]&gt;0,1,""),"")</f>
        <v/>
      </c>
    </row>
    <row r="1305" spans="22:22" x14ac:dyDescent="0.25">
      <c r="V1305" s="1" t="str">
        <f>+IFERROR(IF(Tabla3[[#This Row],[Cilindros totales pendientes]]&gt;0,1,""),"")</f>
        <v/>
      </c>
    </row>
    <row r="1306" spans="22:22" x14ac:dyDescent="0.25">
      <c r="V1306" s="1" t="str">
        <f>+IFERROR(IF(Tabla3[[#This Row],[Cilindros totales pendientes]]&gt;0,1,""),"")</f>
        <v/>
      </c>
    </row>
    <row r="1307" spans="22:22" x14ac:dyDescent="0.25">
      <c r="V1307" s="1" t="str">
        <f>+IFERROR(IF(Tabla3[[#This Row],[Cilindros totales pendientes]]&gt;0,1,""),"")</f>
        <v/>
      </c>
    </row>
    <row r="1308" spans="22:22" x14ac:dyDescent="0.25">
      <c r="V1308" s="1" t="str">
        <f>+IFERROR(IF(Tabla3[[#This Row],[Cilindros totales pendientes]]&gt;0,1,""),"")</f>
        <v/>
      </c>
    </row>
    <row r="1309" spans="22:22" x14ac:dyDescent="0.25">
      <c r="V1309" s="1" t="str">
        <f>+IFERROR(IF(Tabla3[[#This Row],[Cilindros totales pendientes]]&gt;0,1,""),"")</f>
        <v/>
      </c>
    </row>
    <row r="1310" spans="22:22" x14ac:dyDescent="0.25">
      <c r="V1310" s="1" t="str">
        <f>+IFERROR(IF(Tabla3[[#This Row],[Cilindros totales pendientes]]&gt;0,1,""),"")</f>
        <v/>
      </c>
    </row>
    <row r="1311" spans="22:22" x14ac:dyDescent="0.25">
      <c r="V1311" s="1" t="str">
        <f>+IFERROR(IF(Tabla3[[#This Row],[Cilindros totales pendientes]]&gt;0,1,""),"")</f>
        <v/>
      </c>
    </row>
    <row r="1312" spans="22:22" x14ac:dyDescent="0.25">
      <c r="V1312" s="1" t="str">
        <f>+IFERROR(IF(Tabla3[[#This Row],[Cilindros totales pendientes]]&gt;0,1,""),"")</f>
        <v/>
      </c>
    </row>
    <row r="1313" spans="22:22" x14ac:dyDescent="0.25">
      <c r="V1313" s="1" t="str">
        <f>+IFERROR(IF(Tabla3[[#This Row],[Cilindros totales pendientes]]&gt;0,1,""),"")</f>
        <v/>
      </c>
    </row>
    <row r="1314" spans="22:22" x14ac:dyDescent="0.25">
      <c r="V1314" s="1" t="str">
        <f>+IFERROR(IF(Tabla3[[#This Row],[Cilindros totales pendientes]]&gt;0,1,""),"")</f>
        <v/>
      </c>
    </row>
    <row r="1315" spans="22:22" x14ac:dyDescent="0.25">
      <c r="V1315" s="1" t="str">
        <f>+IFERROR(IF(Tabla3[[#This Row],[Cilindros totales pendientes]]&gt;0,1,""),"")</f>
        <v/>
      </c>
    </row>
    <row r="1316" spans="22:22" x14ac:dyDescent="0.25">
      <c r="V1316" s="1" t="str">
        <f>+IFERROR(IF(Tabla3[[#This Row],[Cilindros totales pendientes]]&gt;0,1,""),"")</f>
        <v/>
      </c>
    </row>
    <row r="1317" spans="22:22" x14ac:dyDescent="0.25">
      <c r="V1317" s="1" t="str">
        <f>+IFERROR(IF(Tabla3[[#This Row],[Cilindros totales pendientes]]&gt;0,1,""),"")</f>
        <v/>
      </c>
    </row>
    <row r="1318" spans="22:22" x14ac:dyDescent="0.25">
      <c r="V1318" s="1" t="str">
        <f>+IFERROR(IF(Tabla3[[#This Row],[Cilindros totales pendientes]]&gt;0,1,""),"")</f>
        <v/>
      </c>
    </row>
    <row r="1319" spans="22:22" x14ac:dyDescent="0.25">
      <c r="V1319" s="1" t="str">
        <f>+IFERROR(IF(Tabla3[[#This Row],[Cilindros totales pendientes]]&gt;0,1,""),"")</f>
        <v/>
      </c>
    </row>
    <row r="1320" spans="22:22" x14ac:dyDescent="0.25">
      <c r="V1320" s="1" t="str">
        <f>+IFERROR(IF(Tabla3[[#This Row],[Cilindros totales pendientes]]&gt;0,1,""),"")</f>
        <v/>
      </c>
    </row>
    <row r="1321" spans="22:22" x14ac:dyDescent="0.25">
      <c r="V1321" s="1" t="str">
        <f>+IFERROR(IF(Tabla3[[#This Row],[Cilindros totales pendientes]]&gt;0,1,""),"")</f>
        <v/>
      </c>
    </row>
    <row r="1322" spans="22:22" x14ac:dyDescent="0.25">
      <c r="V1322" s="1" t="str">
        <f>+IFERROR(IF(Tabla3[[#This Row],[Cilindros totales pendientes]]&gt;0,1,""),"")</f>
        <v/>
      </c>
    </row>
    <row r="1323" spans="22:22" x14ac:dyDescent="0.25">
      <c r="V1323" s="1" t="str">
        <f>+IFERROR(IF(Tabla3[[#This Row],[Cilindros totales pendientes]]&gt;0,1,""),"")</f>
        <v/>
      </c>
    </row>
    <row r="1324" spans="22:22" x14ac:dyDescent="0.25">
      <c r="V1324" s="1" t="str">
        <f>+IFERROR(IF(Tabla3[[#This Row],[Cilindros totales pendientes]]&gt;0,1,""),"")</f>
        <v/>
      </c>
    </row>
    <row r="1325" spans="22:22" x14ac:dyDescent="0.25">
      <c r="V1325" s="1" t="str">
        <f>+IFERROR(IF(Tabla3[[#This Row],[Cilindros totales pendientes]]&gt;0,1,""),"")</f>
        <v/>
      </c>
    </row>
    <row r="1326" spans="22:22" x14ac:dyDescent="0.25">
      <c r="V1326" s="1" t="str">
        <f>+IFERROR(IF(Tabla3[[#This Row],[Cilindros totales pendientes]]&gt;0,1,""),"")</f>
        <v/>
      </c>
    </row>
    <row r="1327" spans="22:22" x14ac:dyDescent="0.25">
      <c r="V1327" s="1" t="str">
        <f>+IFERROR(IF(Tabla3[[#This Row],[Cilindros totales pendientes]]&gt;0,1,""),"")</f>
        <v/>
      </c>
    </row>
    <row r="1328" spans="22:22" x14ac:dyDescent="0.25">
      <c r="V1328" s="1" t="str">
        <f>+IFERROR(IF(Tabla3[[#This Row],[Cilindros totales pendientes]]&gt;0,1,""),"")</f>
        <v/>
      </c>
    </row>
    <row r="1329" spans="22:22" x14ac:dyDescent="0.25">
      <c r="V1329" s="1" t="str">
        <f>+IFERROR(IF(Tabla3[[#This Row],[Cilindros totales pendientes]]&gt;0,1,""),"")</f>
        <v/>
      </c>
    </row>
    <row r="1330" spans="22:22" x14ac:dyDescent="0.25">
      <c r="V1330" s="1" t="str">
        <f>+IFERROR(IF(Tabla3[[#This Row],[Cilindros totales pendientes]]&gt;0,1,""),"")</f>
        <v/>
      </c>
    </row>
    <row r="1331" spans="22:22" x14ac:dyDescent="0.25">
      <c r="V1331" s="1" t="str">
        <f>+IFERROR(IF(Tabla3[[#This Row],[Cilindros totales pendientes]]&gt;0,1,""),"")</f>
        <v/>
      </c>
    </row>
    <row r="1332" spans="22:22" x14ac:dyDescent="0.25">
      <c r="V1332" s="1" t="str">
        <f>+IFERROR(IF(Tabla3[[#This Row],[Cilindros totales pendientes]]&gt;0,1,""),"")</f>
        <v/>
      </c>
    </row>
    <row r="1333" spans="22:22" x14ac:dyDescent="0.25">
      <c r="V1333" s="1" t="str">
        <f>+IFERROR(IF(Tabla3[[#This Row],[Cilindros totales pendientes]]&gt;0,1,""),"")</f>
        <v/>
      </c>
    </row>
    <row r="1334" spans="22:22" x14ac:dyDescent="0.25">
      <c r="V1334" s="1" t="str">
        <f>+IFERROR(IF(Tabla3[[#This Row],[Cilindros totales pendientes]]&gt;0,1,""),"")</f>
        <v/>
      </c>
    </row>
    <row r="1335" spans="22:22" x14ac:dyDescent="0.25">
      <c r="V1335" s="1" t="str">
        <f>+IFERROR(IF(Tabla3[[#This Row],[Cilindros totales pendientes]]&gt;0,1,""),"")</f>
        <v/>
      </c>
    </row>
    <row r="1336" spans="22:22" x14ac:dyDescent="0.25">
      <c r="V1336" s="1" t="str">
        <f>+IFERROR(IF(Tabla3[[#This Row],[Cilindros totales pendientes]]&gt;0,1,""),"")</f>
        <v/>
      </c>
    </row>
    <row r="1337" spans="22:22" x14ac:dyDescent="0.25">
      <c r="V1337" s="1" t="str">
        <f>+IFERROR(IF(Tabla3[[#This Row],[Cilindros totales pendientes]]&gt;0,1,""),"")</f>
        <v/>
      </c>
    </row>
    <row r="1338" spans="22:22" x14ac:dyDescent="0.25">
      <c r="V1338" s="1" t="str">
        <f>+IFERROR(IF(Tabla3[[#This Row],[Cilindros totales pendientes]]&gt;0,1,""),"")</f>
        <v/>
      </c>
    </row>
    <row r="1339" spans="22:22" x14ac:dyDescent="0.25">
      <c r="V1339" s="1" t="str">
        <f>+IFERROR(IF(Tabla3[[#This Row],[Cilindros totales pendientes]]&gt;0,1,""),"")</f>
        <v/>
      </c>
    </row>
    <row r="1340" spans="22:22" x14ac:dyDescent="0.25">
      <c r="V1340" s="1" t="str">
        <f>+IFERROR(IF(Tabla3[[#This Row],[Cilindros totales pendientes]]&gt;0,1,""),"")</f>
        <v/>
      </c>
    </row>
    <row r="1341" spans="22:22" x14ac:dyDescent="0.25">
      <c r="V1341" s="1" t="str">
        <f>+IFERROR(IF(Tabla3[[#This Row],[Cilindros totales pendientes]]&gt;0,1,""),"")</f>
        <v/>
      </c>
    </row>
    <row r="1342" spans="22:22" x14ac:dyDescent="0.25">
      <c r="V1342" s="1" t="str">
        <f>+IFERROR(IF(Tabla3[[#This Row],[Cilindros totales pendientes]]&gt;0,1,""),"")</f>
        <v/>
      </c>
    </row>
    <row r="1343" spans="22:22" x14ac:dyDescent="0.25">
      <c r="V1343" s="1" t="str">
        <f>+IFERROR(IF(Tabla3[[#This Row],[Cilindros totales pendientes]]&gt;0,1,""),"")</f>
        <v/>
      </c>
    </row>
    <row r="1344" spans="22:22" x14ac:dyDescent="0.25">
      <c r="V1344" s="1" t="str">
        <f>+IFERROR(IF(Tabla3[[#This Row],[Cilindros totales pendientes]]&gt;0,1,""),"")</f>
        <v/>
      </c>
    </row>
    <row r="1345" spans="22:22" x14ac:dyDescent="0.25">
      <c r="V1345" s="1" t="str">
        <f>+IFERROR(IF(Tabla3[[#This Row],[Cilindros totales pendientes]]&gt;0,1,""),"")</f>
        <v/>
      </c>
    </row>
    <row r="1346" spans="22:22" x14ac:dyDescent="0.25">
      <c r="V1346" s="1" t="str">
        <f>+IFERROR(IF(Tabla3[[#This Row],[Cilindros totales pendientes]]&gt;0,1,""),"")</f>
        <v/>
      </c>
    </row>
    <row r="1347" spans="22:22" x14ac:dyDescent="0.25">
      <c r="V1347" s="1" t="str">
        <f>+IFERROR(IF(Tabla3[[#This Row],[Cilindros totales pendientes]]&gt;0,1,""),"")</f>
        <v/>
      </c>
    </row>
    <row r="1348" spans="22:22" x14ac:dyDescent="0.25">
      <c r="V1348" s="1" t="str">
        <f>+IFERROR(IF(Tabla3[[#This Row],[Cilindros totales pendientes]]&gt;0,1,""),"")</f>
        <v/>
      </c>
    </row>
    <row r="1349" spans="22:22" x14ac:dyDescent="0.25">
      <c r="V1349" s="1" t="str">
        <f>+IFERROR(IF(Tabla3[[#This Row],[Cilindros totales pendientes]]&gt;0,1,""),"")</f>
        <v/>
      </c>
    </row>
    <row r="1350" spans="22:22" x14ac:dyDescent="0.25">
      <c r="V1350" s="1" t="str">
        <f>+IFERROR(IF(Tabla3[[#This Row],[Cilindros totales pendientes]]&gt;0,1,""),"")</f>
        <v/>
      </c>
    </row>
    <row r="1351" spans="22:22" x14ac:dyDescent="0.25">
      <c r="V1351" s="1" t="str">
        <f>+IFERROR(IF(Tabla3[[#This Row],[Cilindros totales pendientes]]&gt;0,1,""),"")</f>
        <v/>
      </c>
    </row>
    <row r="1352" spans="22:22" x14ac:dyDescent="0.25">
      <c r="V1352" s="1" t="str">
        <f>+IFERROR(IF(Tabla3[[#This Row],[Cilindros totales pendientes]]&gt;0,1,""),"")</f>
        <v/>
      </c>
    </row>
    <row r="1353" spans="22:22" x14ac:dyDescent="0.25">
      <c r="V1353" s="1" t="str">
        <f>+IFERROR(IF(Tabla3[[#This Row],[Cilindros totales pendientes]]&gt;0,1,""),"")</f>
        <v/>
      </c>
    </row>
    <row r="1354" spans="22:22" x14ac:dyDescent="0.25">
      <c r="V1354" s="1" t="str">
        <f>+IFERROR(IF(Tabla3[[#This Row],[Cilindros totales pendientes]]&gt;0,1,""),"")</f>
        <v/>
      </c>
    </row>
    <row r="1355" spans="22:22" x14ac:dyDescent="0.25">
      <c r="V1355" s="1" t="str">
        <f>+IFERROR(IF(Tabla3[[#This Row],[Cilindros totales pendientes]]&gt;0,1,""),"")</f>
        <v/>
      </c>
    </row>
    <row r="1356" spans="22:22" x14ac:dyDescent="0.25">
      <c r="V1356" s="1" t="str">
        <f>+IFERROR(IF(Tabla3[[#This Row],[Cilindros totales pendientes]]&gt;0,1,""),"")</f>
        <v/>
      </c>
    </row>
    <row r="1357" spans="22:22" x14ac:dyDescent="0.25">
      <c r="V1357" s="1" t="str">
        <f>+IFERROR(IF(Tabla3[[#This Row],[Cilindros totales pendientes]]&gt;0,1,""),"")</f>
        <v/>
      </c>
    </row>
    <row r="1358" spans="22:22" x14ac:dyDescent="0.25">
      <c r="V1358" s="1" t="str">
        <f>+IFERROR(IF(Tabla3[[#This Row],[Cilindros totales pendientes]]&gt;0,1,""),"")</f>
        <v/>
      </c>
    </row>
    <row r="1359" spans="22:22" x14ac:dyDescent="0.25">
      <c r="V1359" s="1" t="str">
        <f>+IFERROR(IF(Tabla3[[#This Row],[Cilindros totales pendientes]]&gt;0,1,""),"")</f>
        <v/>
      </c>
    </row>
    <row r="1360" spans="22:22" x14ac:dyDescent="0.25">
      <c r="V1360" s="1" t="str">
        <f>+IFERROR(IF(Tabla3[[#This Row],[Cilindros totales pendientes]]&gt;0,1,""),"")</f>
        <v/>
      </c>
    </row>
    <row r="1361" spans="22:22" x14ac:dyDescent="0.25">
      <c r="V1361" s="1" t="str">
        <f>+IFERROR(IF(Tabla3[[#This Row],[Cilindros totales pendientes]]&gt;0,1,""),"")</f>
        <v/>
      </c>
    </row>
    <row r="1362" spans="22:22" x14ac:dyDescent="0.25">
      <c r="V1362" s="1" t="str">
        <f>+IFERROR(IF(Tabla3[[#This Row],[Cilindros totales pendientes]]&gt;0,1,""),"")</f>
        <v/>
      </c>
    </row>
    <row r="1363" spans="22:22" x14ac:dyDescent="0.25">
      <c r="V1363" s="1" t="str">
        <f>+IFERROR(IF(Tabla3[[#This Row],[Cilindros totales pendientes]]&gt;0,1,""),"")</f>
        <v/>
      </c>
    </row>
    <row r="1364" spans="22:22" x14ac:dyDescent="0.25">
      <c r="V1364" s="1" t="str">
        <f>+IFERROR(IF(Tabla3[[#This Row],[Cilindros totales pendientes]]&gt;0,1,""),"")</f>
        <v/>
      </c>
    </row>
    <row r="1365" spans="22:22" x14ac:dyDescent="0.25">
      <c r="V1365" s="1" t="str">
        <f>+IFERROR(IF(Tabla3[[#This Row],[Cilindros totales pendientes]]&gt;0,1,""),"")</f>
        <v/>
      </c>
    </row>
    <row r="1366" spans="22:22" x14ac:dyDescent="0.25">
      <c r="V1366" s="1" t="str">
        <f>+IFERROR(IF(Tabla3[[#This Row],[Cilindros totales pendientes]]&gt;0,1,""),"")</f>
        <v/>
      </c>
    </row>
    <row r="1367" spans="22:22" x14ac:dyDescent="0.25">
      <c r="V1367" s="1" t="str">
        <f>+IFERROR(IF(Tabla3[[#This Row],[Cilindros totales pendientes]]&gt;0,1,""),"")</f>
        <v/>
      </c>
    </row>
    <row r="1368" spans="22:22" x14ac:dyDescent="0.25">
      <c r="V1368" s="1" t="str">
        <f>+IFERROR(IF(Tabla3[[#This Row],[Cilindros totales pendientes]]&gt;0,1,""),"")</f>
        <v/>
      </c>
    </row>
    <row r="1369" spans="22:22" x14ac:dyDescent="0.25">
      <c r="V1369" s="1" t="str">
        <f>+IFERROR(IF(Tabla3[[#This Row],[Cilindros totales pendientes]]&gt;0,1,""),"")</f>
        <v/>
      </c>
    </row>
    <row r="1370" spans="22:22" x14ac:dyDescent="0.25">
      <c r="V1370" s="1" t="str">
        <f>+IFERROR(IF(Tabla3[[#This Row],[Cilindros totales pendientes]]&gt;0,1,""),"")</f>
        <v/>
      </c>
    </row>
    <row r="1371" spans="22:22" x14ac:dyDescent="0.25">
      <c r="V1371" s="1" t="str">
        <f>+IFERROR(IF(Tabla3[[#This Row],[Cilindros totales pendientes]]&gt;0,1,""),"")</f>
        <v/>
      </c>
    </row>
    <row r="1372" spans="22:22" x14ac:dyDescent="0.25">
      <c r="V1372" s="1" t="str">
        <f>+IFERROR(IF(Tabla3[[#This Row],[Cilindros totales pendientes]]&gt;0,1,""),"")</f>
        <v/>
      </c>
    </row>
    <row r="1373" spans="22:22" x14ac:dyDescent="0.25">
      <c r="V1373" s="1" t="str">
        <f>+IFERROR(IF(Tabla3[[#This Row],[Cilindros totales pendientes]]&gt;0,1,""),"")</f>
        <v/>
      </c>
    </row>
    <row r="1374" spans="22:22" x14ac:dyDescent="0.25">
      <c r="V1374" s="1" t="str">
        <f>+IFERROR(IF(Tabla3[[#This Row],[Cilindros totales pendientes]]&gt;0,1,""),"")</f>
        <v/>
      </c>
    </row>
    <row r="1375" spans="22:22" x14ac:dyDescent="0.25">
      <c r="V1375" s="1" t="str">
        <f>+IFERROR(IF(Tabla3[[#This Row],[Cilindros totales pendientes]]&gt;0,1,""),"")</f>
        <v/>
      </c>
    </row>
    <row r="1376" spans="22:22" x14ac:dyDescent="0.25">
      <c r="V1376" s="1" t="str">
        <f>+IFERROR(IF(Tabla3[[#This Row],[Cilindros totales pendientes]]&gt;0,1,""),"")</f>
        <v/>
      </c>
    </row>
    <row r="1377" spans="22:22" x14ac:dyDescent="0.25">
      <c r="V1377" s="1" t="str">
        <f>+IFERROR(IF(Tabla3[[#This Row],[Cilindros totales pendientes]]&gt;0,1,""),"")</f>
        <v/>
      </c>
    </row>
    <row r="1378" spans="22:22" x14ac:dyDescent="0.25">
      <c r="V1378" s="1" t="str">
        <f>+IFERROR(IF(Tabla3[[#This Row],[Cilindros totales pendientes]]&gt;0,1,""),"")</f>
        <v/>
      </c>
    </row>
    <row r="1379" spans="22:22" x14ac:dyDescent="0.25">
      <c r="V1379" s="1" t="str">
        <f>+IFERROR(IF(Tabla3[[#This Row],[Cilindros totales pendientes]]&gt;0,1,""),"")</f>
        <v/>
      </c>
    </row>
    <row r="1380" spans="22:22" x14ac:dyDescent="0.25">
      <c r="V1380" s="1" t="str">
        <f>+IFERROR(IF(Tabla3[[#This Row],[Cilindros totales pendientes]]&gt;0,1,""),"")</f>
        <v/>
      </c>
    </row>
    <row r="1381" spans="22:22" x14ac:dyDescent="0.25">
      <c r="V1381" s="1" t="str">
        <f>+IFERROR(IF(Tabla3[[#This Row],[Cilindros totales pendientes]]&gt;0,1,""),"")</f>
        <v/>
      </c>
    </row>
    <row r="1382" spans="22:22" x14ac:dyDescent="0.25">
      <c r="V1382" s="1" t="str">
        <f>+IFERROR(IF(Tabla3[[#This Row],[Cilindros totales pendientes]]&gt;0,1,""),"")</f>
        <v/>
      </c>
    </row>
    <row r="1383" spans="22:22" x14ac:dyDescent="0.25">
      <c r="V1383" s="1" t="str">
        <f>+IFERROR(IF(Tabla3[[#This Row],[Cilindros totales pendientes]]&gt;0,1,""),"")</f>
        <v/>
      </c>
    </row>
    <row r="1384" spans="22:22" x14ac:dyDescent="0.25">
      <c r="V1384" s="1" t="str">
        <f>+IFERROR(IF(Tabla3[[#This Row],[Cilindros totales pendientes]]&gt;0,1,""),"")</f>
        <v/>
      </c>
    </row>
    <row r="1385" spans="22:22" x14ac:dyDescent="0.25">
      <c r="V1385" s="1" t="str">
        <f>+IFERROR(IF(Tabla3[[#This Row],[Cilindros totales pendientes]]&gt;0,1,""),"")</f>
        <v/>
      </c>
    </row>
    <row r="1386" spans="22:22" x14ac:dyDescent="0.25">
      <c r="V1386" s="1" t="str">
        <f>+IFERROR(IF(Tabla3[[#This Row],[Cilindros totales pendientes]]&gt;0,1,""),"")</f>
        <v/>
      </c>
    </row>
    <row r="1387" spans="22:22" x14ac:dyDescent="0.25">
      <c r="V1387" s="1" t="str">
        <f>+IFERROR(IF(Tabla3[[#This Row],[Cilindros totales pendientes]]&gt;0,1,""),"")</f>
        <v/>
      </c>
    </row>
    <row r="1388" spans="22:22" x14ac:dyDescent="0.25">
      <c r="V1388" s="1" t="str">
        <f>+IFERROR(IF(Tabla3[[#This Row],[Cilindros totales pendientes]]&gt;0,1,""),"")</f>
        <v/>
      </c>
    </row>
    <row r="1389" spans="22:22" x14ac:dyDescent="0.25">
      <c r="V1389" s="1" t="str">
        <f>+IFERROR(IF(Tabla3[[#This Row],[Cilindros totales pendientes]]&gt;0,1,""),"")</f>
        <v/>
      </c>
    </row>
    <row r="1390" spans="22:22" x14ac:dyDescent="0.25">
      <c r="V1390" s="1" t="str">
        <f>+IFERROR(IF(Tabla3[[#This Row],[Cilindros totales pendientes]]&gt;0,1,""),"")</f>
        <v/>
      </c>
    </row>
    <row r="1391" spans="22:22" x14ac:dyDescent="0.25">
      <c r="V1391" s="1" t="str">
        <f>+IFERROR(IF(Tabla3[[#This Row],[Cilindros totales pendientes]]&gt;0,1,""),"")</f>
        <v/>
      </c>
    </row>
    <row r="1392" spans="22:22" x14ac:dyDescent="0.25">
      <c r="V1392" s="1" t="str">
        <f>+IFERROR(IF(Tabla3[[#This Row],[Cilindros totales pendientes]]&gt;0,1,""),"")</f>
        <v/>
      </c>
    </row>
    <row r="1393" spans="22:22" x14ac:dyDescent="0.25">
      <c r="V1393" s="1" t="str">
        <f>+IFERROR(IF(Tabla3[[#This Row],[Cilindros totales pendientes]]&gt;0,1,""),"")</f>
        <v/>
      </c>
    </row>
    <row r="1394" spans="22:22" x14ac:dyDescent="0.25">
      <c r="V1394" s="1" t="str">
        <f>+IFERROR(IF(Tabla3[[#This Row],[Cilindros totales pendientes]]&gt;0,1,""),"")</f>
        <v/>
      </c>
    </row>
    <row r="1395" spans="22:22" x14ac:dyDescent="0.25">
      <c r="V1395" s="1" t="str">
        <f>+IFERROR(IF(Tabla3[[#This Row],[Cilindros totales pendientes]]&gt;0,1,""),"")</f>
        <v/>
      </c>
    </row>
    <row r="1396" spans="22:22" x14ac:dyDescent="0.25">
      <c r="V1396" s="1" t="str">
        <f>+IFERROR(IF(Tabla3[[#This Row],[Cilindros totales pendientes]]&gt;0,1,""),"")</f>
        <v/>
      </c>
    </row>
    <row r="1397" spans="22:22" x14ac:dyDescent="0.25">
      <c r="V1397" s="1" t="str">
        <f>+IFERROR(IF(Tabla3[[#This Row],[Cilindros totales pendientes]]&gt;0,1,""),"")</f>
        <v/>
      </c>
    </row>
    <row r="1398" spans="22:22" x14ac:dyDescent="0.25">
      <c r="V1398" s="1" t="str">
        <f>+IFERROR(IF(Tabla3[[#This Row],[Cilindros totales pendientes]]&gt;0,1,""),"")</f>
        <v/>
      </c>
    </row>
    <row r="1399" spans="22:22" x14ac:dyDescent="0.25">
      <c r="V1399" s="1" t="str">
        <f>+IFERROR(IF(Tabla3[[#This Row],[Cilindros totales pendientes]]&gt;0,1,""),"")</f>
        <v/>
      </c>
    </row>
    <row r="1400" spans="22:22" x14ac:dyDescent="0.25">
      <c r="V1400" s="1" t="str">
        <f>+IFERROR(IF(Tabla3[[#This Row],[Cilindros totales pendientes]]&gt;0,1,""),"")</f>
        <v/>
      </c>
    </row>
    <row r="1401" spans="22:22" x14ac:dyDescent="0.25">
      <c r="V1401" s="1" t="str">
        <f>+IFERROR(IF(Tabla3[[#This Row],[Cilindros totales pendientes]]&gt;0,1,""),"")</f>
        <v/>
      </c>
    </row>
    <row r="1402" spans="22:22" x14ac:dyDescent="0.25">
      <c r="V1402" s="1" t="str">
        <f>+IFERROR(IF(Tabla3[[#This Row],[Cilindros totales pendientes]]&gt;0,1,""),"")</f>
        <v/>
      </c>
    </row>
    <row r="1403" spans="22:22" x14ac:dyDescent="0.25">
      <c r="V1403" s="1" t="str">
        <f>+IFERROR(IF(Tabla3[[#This Row],[Cilindros totales pendientes]]&gt;0,1,""),"")</f>
        <v/>
      </c>
    </row>
    <row r="1404" spans="22:22" x14ac:dyDescent="0.25">
      <c r="V1404" s="1" t="str">
        <f>+IFERROR(IF(Tabla3[[#This Row],[Cilindros totales pendientes]]&gt;0,1,""),"")</f>
        <v/>
      </c>
    </row>
    <row r="1405" spans="22:22" x14ac:dyDescent="0.25">
      <c r="V1405" s="1" t="str">
        <f>+IFERROR(IF(Tabla3[[#This Row],[Cilindros totales pendientes]]&gt;0,1,""),"")</f>
        <v/>
      </c>
    </row>
    <row r="1406" spans="22:22" x14ac:dyDescent="0.25">
      <c r="V1406" s="1" t="str">
        <f>+IFERROR(IF(Tabla3[[#This Row],[Cilindros totales pendientes]]&gt;0,1,""),"")</f>
        <v/>
      </c>
    </row>
    <row r="1407" spans="22:22" x14ac:dyDescent="0.25">
      <c r="V1407" s="1" t="str">
        <f>+IFERROR(IF(Tabla3[[#This Row],[Cilindros totales pendientes]]&gt;0,1,""),"")</f>
        <v/>
      </c>
    </row>
    <row r="1408" spans="22:22" x14ac:dyDescent="0.25">
      <c r="V1408" s="1" t="str">
        <f>+IFERROR(IF(Tabla3[[#This Row],[Cilindros totales pendientes]]&gt;0,1,""),"")</f>
        <v/>
      </c>
    </row>
    <row r="1409" spans="22:22" x14ac:dyDescent="0.25">
      <c r="V1409" s="1" t="str">
        <f>+IFERROR(IF(Tabla3[[#This Row],[Cilindros totales pendientes]]&gt;0,1,""),"")</f>
        <v/>
      </c>
    </row>
    <row r="1410" spans="22:22" x14ac:dyDescent="0.25">
      <c r="V1410" s="1" t="str">
        <f>+IFERROR(IF(Tabla3[[#This Row],[Cilindros totales pendientes]]&gt;0,1,""),"")</f>
        <v/>
      </c>
    </row>
    <row r="1411" spans="22:22" x14ac:dyDescent="0.25">
      <c r="V1411" s="1" t="str">
        <f>+IFERROR(IF(Tabla3[[#This Row],[Cilindros totales pendientes]]&gt;0,1,""),"")</f>
        <v/>
      </c>
    </row>
    <row r="1412" spans="22:22" x14ac:dyDescent="0.25">
      <c r="V1412" s="1" t="str">
        <f>+IFERROR(IF(Tabla3[[#This Row],[Cilindros totales pendientes]]&gt;0,1,""),"")</f>
        <v/>
      </c>
    </row>
    <row r="1413" spans="22:22" x14ac:dyDescent="0.25">
      <c r="V1413" s="1" t="str">
        <f>+IFERROR(IF(Tabla3[[#This Row],[Cilindros totales pendientes]]&gt;0,1,""),"")</f>
        <v/>
      </c>
    </row>
    <row r="1414" spans="22:22" x14ac:dyDescent="0.25">
      <c r="V1414" s="1" t="str">
        <f>+IFERROR(IF(Tabla3[[#This Row],[Cilindros totales pendientes]]&gt;0,1,""),"")</f>
        <v/>
      </c>
    </row>
    <row r="1415" spans="22:22" x14ac:dyDescent="0.25">
      <c r="V1415" s="1" t="str">
        <f>+IFERROR(IF(Tabla3[[#This Row],[Cilindros totales pendientes]]&gt;0,1,""),"")</f>
        <v/>
      </c>
    </row>
    <row r="1416" spans="22:22" x14ac:dyDescent="0.25">
      <c r="V1416" s="1" t="str">
        <f>+IFERROR(IF(Tabla3[[#This Row],[Cilindros totales pendientes]]&gt;0,1,""),"")</f>
        <v/>
      </c>
    </row>
    <row r="1417" spans="22:22" x14ac:dyDescent="0.25">
      <c r="V1417" s="1" t="str">
        <f>+IFERROR(IF(Tabla3[[#This Row],[Cilindros totales pendientes]]&gt;0,1,""),"")</f>
        <v/>
      </c>
    </row>
    <row r="1418" spans="22:22" x14ac:dyDescent="0.25">
      <c r="V1418" s="1" t="str">
        <f>+IFERROR(IF(Tabla3[[#This Row],[Cilindros totales pendientes]]&gt;0,1,""),"")</f>
        <v/>
      </c>
    </row>
    <row r="1419" spans="22:22" x14ac:dyDescent="0.25">
      <c r="V1419" s="1" t="str">
        <f>+IFERROR(IF(Tabla3[[#This Row],[Cilindros totales pendientes]]&gt;0,1,""),"")</f>
        <v/>
      </c>
    </row>
    <row r="1420" spans="22:22" x14ac:dyDescent="0.25">
      <c r="V1420" s="1" t="str">
        <f>+IFERROR(IF(Tabla3[[#This Row],[Cilindros totales pendientes]]&gt;0,1,""),"")</f>
        <v/>
      </c>
    </row>
    <row r="1421" spans="22:22" x14ac:dyDescent="0.25">
      <c r="V1421" s="1" t="str">
        <f>+IFERROR(IF(Tabla3[[#This Row],[Cilindros totales pendientes]]&gt;0,1,""),"")</f>
        <v/>
      </c>
    </row>
    <row r="1422" spans="22:22" x14ac:dyDescent="0.25">
      <c r="V1422" s="1" t="str">
        <f>+IFERROR(IF(Tabla3[[#This Row],[Cilindros totales pendientes]]&gt;0,1,""),"")</f>
        <v/>
      </c>
    </row>
    <row r="1423" spans="22:22" x14ac:dyDescent="0.25">
      <c r="V1423" s="1" t="str">
        <f>+IFERROR(IF(Tabla3[[#This Row],[Cilindros totales pendientes]]&gt;0,1,""),"")</f>
        <v/>
      </c>
    </row>
    <row r="1424" spans="22:22" x14ac:dyDescent="0.25">
      <c r="V1424" s="1" t="str">
        <f>+IFERROR(IF(Tabla3[[#This Row],[Cilindros totales pendientes]]&gt;0,1,""),"")</f>
        <v/>
      </c>
    </row>
    <row r="1425" spans="22:22" x14ac:dyDescent="0.25">
      <c r="V1425" s="1" t="str">
        <f>+IFERROR(IF(Tabla3[[#This Row],[Cilindros totales pendientes]]&gt;0,1,""),"")</f>
        <v/>
      </c>
    </row>
    <row r="1426" spans="22:22" x14ac:dyDescent="0.25">
      <c r="V1426" s="1" t="str">
        <f>+IFERROR(IF(Tabla3[[#This Row],[Cilindros totales pendientes]]&gt;0,1,""),"")</f>
        <v/>
      </c>
    </row>
    <row r="1427" spans="22:22" x14ac:dyDescent="0.25">
      <c r="V1427" s="1" t="str">
        <f>+IFERROR(IF(Tabla3[[#This Row],[Cilindros totales pendientes]]&gt;0,1,""),"")</f>
        <v/>
      </c>
    </row>
    <row r="1428" spans="22:22" x14ac:dyDescent="0.25">
      <c r="V1428" s="1" t="str">
        <f>+IFERROR(IF(Tabla3[[#This Row],[Cilindros totales pendientes]]&gt;0,1,""),"")</f>
        <v/>
      </c>
    </row>
    <row r="1429" spans="22:22" x14ac:dyDescent="0.25">
      <c r="V1429" s="1" t="str">
        <f>+IFERROR(IF(Tabla3[[#This Row],[Cilindros totales pendientes]]&gt;0,1,""),"")</f>
        <v/>
      </c>
    </row>
    <row r="1430" spans="22:22" x14ac:dyDescent="0.25">
      <c r="V1430" s="1" t="str">
        <f>+IFERROR(IF(Tabla3[[#This Row],[Cilindros totales pendientes]]&gt;0,1,""),"")</f>
        <v/>
      </c>
    </row>
    <row r="1431" spans="22:22" x14ac:dyDescent="0.25">
      <c r="V1431" s="1" t="str">
        <f>+IFERROR(IF(Tabla3[[#This Row],[Cilindros totales pendientes]]&gt;0,1,""),"")</f>
        <v/>
      </c>
    </row>
    <row r="1432" spans="22:22" x14ac:dyDescent="0.25">
      <c r="V1432" s="1" t="str">
        <f>+IFERROR(IF(Tabla3[[#This Row],[Cilindros totales pendientes]]&gt;0,1,""),"")</f>
        <v/>
      </c>
    </row>
    <row r="1433" spans="22:22" x14ac:dyDescent="0.25">
      <c r="V1433" s="1" t="str">
        <f>+IFERROR(IF(Tabla3[[#This Row],[Cilindros totales pendientes]]&gt;0,1,""),"")</f>
        <v/>
      </c>
    </row>
    <row r="1434" spans="22:22" x14ac:dyDescent="0.25">
      <c r="V1434" s="1" t="str">
        <f>+IFERROR(IF(Tabla3[[#This Row],[Cilindros totales pendientes]]&gt;0,1,""),"")</f>
        <v/>
      </c>
    </row>
    <row r="1435" spans="22:22" x14ac:dyDescent="0.25">
      <c r="V1435" s="1" t="str">
        <f>+IFERROR(IF(Tabla3[[#This Row],[Cilindros totales pendientes]]&gt;0,1,""),"")</f>
        <v/>
      </c>
    </row>
    <row r="1436" spans="22:22" x14ac:dyDescent="0.25">
      <c r="V1436" s="1" t="str">
        <f>+IFERROR(IF(Tabla3[[#This Row],[Cilindros totales pendientes]]&gt;0,1,""),"")</f>
        <v/>
      </c>
    </row>
    <row r="1437" spans="22:22" x14ac:dyDescent="0.25">
      <c r="V1437" s="1" t="str">
        <f>+IFERROR(IF(Tabla3[[#This Row],[Cilindros totales pendientes]]&gt;0,1,""),"")</f>
        <v/>
      </c>
    </row>
    <row r="1438" spans="22:22" x14ac:dyDescent="0.25">
      <c r="V1438" s="1" t="str">
        <f>+IFERROR(IF(Tabla3[[#This Row],[Cilindros totales pendientes]]&gt;0,1,""),"")</f>
        <v/>
      </c>
    </row>
    <row r="1439" spans="22:22" x14ac:dyDescent="0.25">
      <c r="V1439" s="1" t="str">
        <f>+IFERROR(IF(Tabla3[[#This Row],[Cilindros totales pendientes]]&gt;0,1,""),"")</f>
        <v/>
      </c>
    </row>
    <row r="1440" spans="22:22" x14ac:dyDescent="0.25">
      <c r="V1440" s="1" t="str">
        <f>+IFERROR(IF(Tabla3[[#This Row],[Cilindros totales pendientes]]&gt;0,1,""),"")</f>
        <v/>
      </c>
    </row>
    <row r="1441" spans="22:22" x14ac:dyDescent="0.25">
      <c r="V1441" s="1" t="str">
        <f>+IFERROR(IF(Tabla3[[#This Row],[Cilindros totales pendientes]]&gt;0,1,""),"")</f>
        <v/>
      </c>
    </row>
    <row r="1442" spans="22:22" x14ac:dyDescent="0.25">
      <c r="V1442" s="1" t="str">
        <f>+IFERROR(IF(Tabla3[[#This Row],[Cilindros totales pendientes]]&gt;0,1,""),"")</f>
        <v/>
      </c>
    </row>
    <row r="1443" spans="22:22" x14ac:dyDescent="0.25">
      <c r="V1443" s="1" t="str">
        <f>+IFERROR(IF(Tabla3[[#This Row],[Cilindros totales pendientes]]&gt;0,1,""),"")</f>
        <v/>
      </c>
    </row>
    <row r="1444" spans="22:22" x14ac:dyDescent="0.25">
      <c r="V1444" s="1" t="str">
        <f>+IFERROR(IF(Tabla3[[#This Row],[Cilindros totales pendientes]]&gt;0,1,""),"")</f>
        <v/>
      </c>
    </row>
    <row r="1445" spans="22:22" x14ac:dyDescent="0.25">
      <c r="V1445" s="1" t="str">
        <f>+IFERROR(IF(Tabla3[[#This Row],[Cilindros totales pendientes]]&gt;0,1,""),"")</f>
        <v/>
      </c>
    </row>
    <row r="1446" spans="22:22" x14ac:dyDescent="0.25">
      <c r="V1446" s="1" t="str">
        <f>+IFERROR(IF(Tabla3[[#This Row],[Cilindros totales pendientes]]&gt;0,1,""),"")</f>
        <v/>
      </c>
    </row>
    <row r="1447" spans="22:22" x14ac:dyDescent="0.25">
      <c r="V1447" s="1" t="str">
        <f>+IFERROR(IF(Tabla3[[#This Row],[Cilindros totales pendientes]]&gt;0,1,""),"")</f>
        <v/>
      </c>
    </row>
    <row r="1448" spans="22:22" x14ac:dyDescent="0.25">
      <c r="V1448" s="1" t="str">
        <f>+IFERROR(IF(Tabla3[[#This Row],[Cilindros totales pendientes]]&gt;0,1,""),"")</f>
        <v/>
      </c>
    </row>
    <row r="1449" spans="22:22" x14ac:dyDescent="0.25">
      <c r="V1449" s="1" t="str">
        <f>+IFERROR(IF(Tabla3[[#This Row],[Cilindros totales pendientes]]&gt;0,1,""),"")</f>
        <v/>
      </c>
    </row>
    <row r="1450" spans="22:22" x14ac:dyDescent="0.25">
      <c r="V1450" s="1" t="str">
        <f>+IFERROR(IF(Tabla3[[#This Row],[Cilindros totales pendientes]]&gt;0,1,""),"")</f>
        <v/>
      </c>
    </row>
    <row r="1451" spans="22:22" x14ac:dyDescent="0.25">
      <c r="V1451" s="1" t="str">
        <f>+IFERROR(IF(Tabla3[[#This Row],[Cilindros totales pendientes]]&gt;0,1,""),"")</f>
        <v/>
      </c>
    </row>
    <row r="1452" spans="22:22" x14ac:dyDescent="0.25">
      <c r="V1452" s="1" t="str">
        <f>+IFERROR(IF(Tabla3[[#This Row],[Cilindros totales pendientes]]&gt;0,1,""),"")</f>
        <v/>
      </c>
    </row>
    <row r="1453" spans="22:22" x14ac:dyDescent="0.25">
      <c r="V1453" s="1" t="str">
        <f>+IFERROR(IF(Tabla3[[#This Row],[Cilindros totales pendientes]]&gt;0,1,""),"")</f>
        <v/>
      </c>
    </row>
    <row r="1454" spans="22:22" x14ac:dyDescent="0.25">
      <c r="V1454" s="1" t="str">
        <f>+IFERROR(IF(Tabla3[[#This Row],[Cilindros totales pendientes]]&gt;0,1,""),"")</f>
        <v/>
      </c>
    </row>
    <row r="1455" spans="22:22" x14ac:dyDescent="0.25">
      <c r="V1455" s="1" t="str">
        <f>+IFERROR(IF(Tabla3[[#This Row],[Cilindros totales pendientes]]&gt;0,1,""),"")</f>
        <v/>
      </c>
    </row>
    <row r="1456" spans="22:22" x14ac:dyDescent="0.25">
      <c r="V1456" s="1" t="str">
        <f>+IFERROR(IF(Tabla3[[#This Row],[Cilindros totales pendientes]]&gt;0,1,""),"")</f>
        <v/>
      </c>
    </row>
    <row r="1457" spans="22:22" x14ac:dyDescent="0.25">
      <c r="V1457" s="1" t="str">
        <f>+IFERROR(IF(Tabla3[[#This Row],[Cilindros totales pendientes]]&gt;0,1,""),"")</f>
        <v/>
      </c>
    </row>
    <row r="1458" spans="22:22" x14ac:dyDescent="0.25">
      <c r="V1458" s="1" t="str">
        <f>+IFERROR(IF(Tabla3[[#This Row],[Cilindros totales pendientes]]&gt;0,1,""),"")</f>
        <v/>
      </c>
    </row>
    <row r="1459" spans="22:22" x14ac:dyDescent="0.25">
      <c r="V1459" s="1" t="str">
        <f>+IFERROR(IF(Tabla3[[#This Row],[Cilindros totales pendientes]]&gt;0,1,""),"")</f>
        <v/>
      </c>
    </row>
    <row r="1460" spans="22:22" x14ac:dyDescent="0.25">
      <c r="V1460" s="1" t="str">
        <f>+IFERROR(IF(Tabla3[[#This Row],[Cilindros totales pendientes]]&gt;0,1,""),"")</f>
        <v/>
      </c>
    </row>
    <row r="1461" spans="22:22" x14ac:dyDescent="0.25">
      <c r="V1461" s="1" t="str">
        <f>+IFERROR(IF(Tabla3[[#This Row],[Cilindros totales pendientes]]&gt;0,1,""),"")</f>
        <v/>
      </c>
    </row>
    <row r="1462" spans="22:22" x14ac:dyDescent="0.25">
      <c r="V1462" s="1" t="str">
        <f>+IFERROR(IF(Tabla3[[#This Row],[Cilindros totales pendientes]]&gt;0,1,""),"")</f>
        <v/>
      </c>
    </row>
    <row r="1463" spans="22:22" x14ac:dyDescent="0.25">
      <c r="V1463" s="1" t="str">
        <f>+IFERROR(IF(Tabla3[[#This Row],[Cilindros totales pendientes]]&gt;0,1,""),"")</f>
        <v/>
      </c>
    </row>
    <row r="1464" spans="22:22" x14ac:dyDescent="0.25">
      <c r="V1464" s="1" t="str">
        <f>+IFERROR(IF(Tabla3[[#This Row],[Cilindros totales pendientes]]&gt;0,1,""),"")</f>
        <v/>
      </c>
    </row>
    <row r="1465" spans="22:22" x14ac:dyDescent="0.25">
      <c r="V1465" s="1" t="str">
        <f>+IFERROR(IF(Tabla3[[#This Row],[Cilindros totales pendientes]]&gt;0,1,""),"")</f>
        <v/>
      </c>
    </row>
    <row r="1466" spans="22:22" x14ac:dyDescent="0.25">
      <c r="V1466" s="1" t="str">
        <f>+IFERROR(IF(Tabla3[[#This Row],[Cilindros totales pendientes]]&gt;0,1,""),"")</f>
        <v/>
      </c>
    </row>
    <row r="1467" spans="22:22" x14ac:dyDescent="0.25">
      <c r="V1467" s="1" t="str">
        <f>+IFERROR(IF(Tabla3[[#This Row],[Cilindros totales pendientes]]&gt;0,1,""),"")</f>
        <v/>
      </c>
    </row>
    <row r="1468" spans="22:22" x14ac:dyDescent="0.25">
      <c r="V1468" s="1" t="str">
        <f>+IFERROR(IF(Tabla3[[#This Row],[Cilindros totales pendientes]]&gt;0,1,""),"")</f>
        <v/>
      </c>
    </row>
    <row r="1469" spans="22:22" x14ac:dyDescent="0.25">
      <c r="V1469" s="1" t="str">
        <f>+IFERROR(IF(Tabla3[[#This Row],[Cilindros totales pendientes]]&gt;0,1,""),"")</f>
        <v/>
      </c>
    </row>
    <row r="1470" spans="22:22" x14ac:dyDescent="0.25">
      <c r="V1470" s="1" t="str">
        <f>+IFERROR(IF(Tabla3[[#This Row],[Cilindros totales pendientes]]&gt;0,1,""),"")</f>
        <v/>
      </c>
    </row>
    <row r="1471" spans="22:22" x14ac:dyDescent="0.25">
      <c r="V1471" s="1" t="str">
        <f>+IFERROR(IF(Tabla3[[#This Row],[Cilindros totales pendientes]]&gt;0,1,""),"")</f>
        <v/>
      </c>
    </row>
    <row r="1472" spans="22:22" x14ac:dyDescent="0.25">
      <c r="V1472" s="1" t="str">
        <f>+IFERROR(IF(Tabla3[[#This Row],[Cilindros totales pendientes]]&gt;0,1,""),"")</f>
        <v/>
      </c>
    </row>
    <row r="1473" spans="22:22" x14ac:dyDescent="0.25">
      <c r="V1473" s="1" t="str">
        <f>+IFERROR(IF(Tabla3[[#This Row],[Cilindros totales pendientes]]&gt;0,1,""),"")</f>
        <v/>
      </c>
    </row>
    <row r="1474" spans="22:22" x14ac:dyDescent="0.25">
      <c r="V1474" s="1" t="str">
        <f>+IFERROR(IF(Tabla3[[#This Row],[Cilindros totales pendientes]]&gt;0,1,""),"")</f>
        <v/>
      </c>
    </row>
    <row r="1475" spans="22:22" x14ac:dyDescent="0.25">
      <c r="V1475" s="1" t="str">
        <f>+IFERROR(IF(Tabla3[[#This Row],[Cilindros totales pendientes]]&gt;0,1,""),"")</f>
        <v/>
      </c>
    </row>
    <row r="1476" spans="22:22" x14ac:dyDescent="0.25">
      <c r="V1476" s="1" t="str">
        <f>+IFERROR(IF(Tabla3[[#This Row],[Cilindros totales pendientes]]&gt;0,1,""),"")</f>
        <v/>
      </c>
    </row>
    <row r="1477" spans="22:22" x14ac:dyDescent="0.25">
      <c r="V1477" s="1" t="str">
        <f>+IFERROR(IF(Tabla3[[#This Row],[Cilindros totales pendientes]]&gt;0,1,""),"")</f>
        <v/>
      </c>
    </row>
    <row r="1478" spans="22:22" x14ac:dyDescent="0.25">
      <c r="V1478" s="1" t="str">
        <f>+IFERROR(IF(Tabla3[[#This Row],[Cilindros totales pendientes]]&gt;0,1,""),"")</f>
        <v/>
      </c>
    </row>
    <row r="1479" spans="22:22" x14ac:dyDescent="0.25">
      <c r="V1479" s="1" t="str">
        <f>+IFERROR(IF(Tabla3[[#This Row],[Cilindros totales pendientes]]&gt;0,1,""),"")</f>
        <v/>
      </c>
    </row>
    <row r="1480" spans="22:22" x14ac:dyDescent="0.25">
      <c r="V1480" s="1" t="str">
        <f>+IFERROR(IF(Tabla3[[#This Row],[Cilindros totales pendientes]]&gt;0,1,""),"")</f>
        <v/>
      </c>
    </row>
    <row r="1481" spans="22:22" x14ac:dyDescent="0.25">
      <c r="V1481" s="1" t="str">
        <f>+IFERROR(IF(Tabla3[[#This Row],[Cilindros totales pendientes]]&gt;0,1,""),"")</f>
        <v/>
      </c>
    </row>
    <row r="1482" spans="22:22" x14ac:dyDescent="0.25">
      <c r="V1482" s="1" t="str">
        <f>+IFERROR(IF(Tabla3[[#This Row],[Cilindros totales pendientes]]&gt;0,1,""),"")</f>
        <v/>
      </c>
    </row>
    <row r="1483" spans="22:22" x14ac:dyDescent="0.25">
      <c r="V1483" s="1" t="str">
        <f>+IFERROR(IF(Tabla3[[#This Row],[Cilindros totales pendientes]]&gt;0,1,""),"")</f>
        <v/>
      </c>
    </row>
    <row r="1484" spans="22:22" x14ac:dyDescent="0.25">
      <c r="V1484" s="1" t="str">
        <f>+IFERROR(IF(Tabla3[[#This Row],[Cilindros totales pendientes]]&gt;0,1,""),"")</f>
        <v/>
      </c>
    </row>
    <row r="1485" spans="22:22" x14ac:dyDescent="0.25">
      <c r="V1485" s="1" t="str">
        <f>+IFERROR(IF(Tabla3[[#This Row],[Cilindros totales pendientes]]&gt;0,1,""),"")</f>
        <v/>
      </c>
    </row>
    <row r="1486" spans="22:22" x14ac:dyDescent="0.25">
      <c r="V1486" s="1" t="str">
        <f>+IFERROR(IF(Tabla3[[#This Row],[Cilindros totales pendientes]]&gt;0,1,""),"")</f>
        <v/>
      </c>
    </row>
    <row r="1487" spans="22:22" x14ac:dyDescent="0.25">
      <c r="V1487" s="1" t="str">
        <f>+IFERROR(IF(Tabla3[[#This Row],[Cilindros totales pendientes]]&gt;0,1,""),"")</f>
        <v/>
      </c>
    </row>
    <row r="1488" spans="22:22" x14ac:dyDescent="0.25">
      <c r="V1488" s="1" t="str">
        <f>+IFERROR(IF(Tabla3[[#This Row],[Cilindros totales pendientes]]&gt;0,1,""),"")</f>
        <v/>
      </c>
    </row>
    <row r="1489" spans="22:22" x14ac:dyDescent="0.25">
      <c r="V1489" s="1" t="str">
        <f>+IFERROR(IF(Tabla3[[#This Row],[Cilindros totales pendientes]]&gt;0,1,""),"")</f>
        <v/>
      </c>
    </row>
    <row r="1490" spans="22:22" x14ac:dyDescent="0.25">
      <c r="V1490" s="1" t="str">
        <f>+IFERROR(IF(Tabla3[[#This Row],[Cilindros totales pendientes]]&gt;0,1,""),"")</f>
        <v/>
      </c>
    </row>
    <row r="1491" spans="22:22" x14ac:dyDescent="0.25">
      <c r="V1491" s="1" t="str">
        <f>+IFERROR(IF(Tabla3[[#This Row],[Cilindros totales pendientes]]&gt;0,1,""),"")</f>
        <v/>
      </c>
    </row>
    <row r="1492" spans="22:22" x14ac:dyDescent="0.25">
      <c r="V1492" s="1" t="str">
        <f>+IFERROR(IF(Tabla3[[#This Row],[Cilindros totales pendientes]]&gt;0,1,""),"")</f>
        <v/>
      </c>
    </row>
    <row r="1493" spans="22:22" x14ac:dyDescent="0.25">
      <c r="V1493" s="1" t="str">
        <f>+IFERROR(IF(Tabla3[[#This Row],[Cilindros totales pendientes]]&gt;0,1,""),"")</f>
        <v/>
      </c>
    </row>
    <row r="1494" spans="22:22" x14ac:dyDescent="0.25">
      <c r="V1494" s="1" t="str">
        <f>+IFERROR(IF(Tabla3[[#This Row],[Cilindros totales pendientes]]&gt;0,1,""),"")</f>
        <v/>
      </c>
    </row>
    <row r="1495" spans="22:22" x14ac:dyDescent="0.25">
      <c r="V1495" s="1" t="str">
        <f>+IFERROR(IF(Tabla3[[#This Row],[Cilindros totales pendientes]]&gt;0,1,""),"")</f>
        <v/>
      </c>
    </row>
    <row r="1496" spans="22:22" x14ac:dyDescent="0.25">
      <c r="V1496" s="1" t="str">
        <f>+IFERROR(IF(Tabla3[[#This Row],[Cilindros totales pendientes]]&gt;0,1,""),"")</f>
        <v/>
      </c>
    </row>
    <row r="1497" spans="22:22" x14ac:dyDescent="0.25">
      <c r="V1497" s="1" t="str">
        <f>+IFERROR(IF(Tabla3[[#This Row],[Cilindros totales pendientes]]&gt;0,1,""),"")</f>
        <v/>
      </c>
    </row>
    <row r="1498" spans="22:22" x14ac:dyDescent="0.25">
      <c r="V1498" s="1" t="str">
        <f>+IFERROR(IF(Tabla3[[#This Row],[Cilindros totales pendientes]]&gt;0,1,""),"")</f>
        <v/>
      </c>
    </row>
    <row r="1499" spans="22:22" x14ac:dyDescent="0.25">
      <c r="V1499" s="1" t="str">
        <f>+IFERROR(IF(Tabla3[[#This Row],[Cilindros totales pendientes]]&gt;0,1,""),"")</f>
        <v/>
      </c>
    </row>
    <row r="1500" spans="22:22" x14ac:dyDescent="0.25">
      <c r="V1500" s="1" t="str">
        <f>+IFERROR(IF(Tabla3[[#This Row],[Cilindros totales pendientes]]&gt;0,1,""),"")</f>
        <v/>
      </c>
    </row>
    <row r="1501" spans="22:22" x14ac:dyDescent="0.25">
      <c r="V1501" s="1" t="str">
        <f>+IFERROR(IF(Tabla3[[#This Row],[Cilindros totales pendientes]]&gt;0,1,""),"")</f>
        <v/>
      </c>
    </row>
    <row r="1502" spans="22:22" x14ac:dyDescent="0.25">
      <c r="V1502" s="1" t="str">
        <f>+IFERROR(IF(Tabla3[[#This Row],[Cilindros totales pendientes]]&gt;0,1,""),"")</f>
        <v/>
      </c>
    </row>
    <row r="1503" spans="22:22" x14ac:dyDescent="0.25">
      <c r="V1503" s="1" t="str">
        <f>+IFERROR(IF(Tabla3[[#This Row],[Cilindros totales pendientes]]&gt;0,1,""),"")</f>
        <v/>
      </c>
    </row>
    <row r="1504" spans="22:22" x14ac:dyDescent="0.25">
      <c r="V1504" s="1" t="str">
        <f>+IFERROR(IF(Tabla3[[#This Row],[Cilindros totales pendientes]]&gt;0,1,""),"")</f>
        <v/>
      </c>
    </row>
    <row r="1505" spans="22:22" x14ac:dyDescent="0.25">
      <c r="V1505" s="1" t="str">
        <f>+IFERROR(IF(Tabla3[[#This Row],[Cilindros totales pendientes]]&gt;0,1,""),"")</f>
        <v/>
      </c>
    </row>
    <row r="1506" spans="22:22" x14ac:dyDescent="0.25">
      <c r="V1506" s="1" t="str">
        <f>+IFERROR(IF(Tabla3[[#This Row],[Cilindros totales pendientes]]&gt;0,1,""),"")</f>
        <v/>
      </c>
    </row>
    <row r="1507" spans="22:22" x14ac:dyDescent="0.25">
      <c r="V1507" s="1" t="str">
        <f>+IFERROR(IF(Tabla3[[#This Row],[Cilindros totales pendientes]]&gt;0,1,""),"")</f>
        <v/>
      </c>
    </row>
    <row r="1508" spans="22:22" x14ac:dyDescent="0.25">
      <c r="V1508" s="1" t="str">
        <f>+IFERROR(IF(Tabla3[[#This Row],[Cilindros totales pendientes]]&gt;0,1,""),"")</f>
        <v/>
      </c>
    </row>
    <row r="1509" spans="22:22" x14ac:dyDescent="0.25">
      <c r="V1509" s="1" t="str">
        <f>+IFERROR(IF(Tabla3[[#This Row],[Cilindros totales pendientes]]&gt;0,1,""),"")</f>
        <v/>
      </c>
    </row>
    <row r="1510" spans="22:22" x14ac:dyDescent="0.25">
      <c r="V1510" s="1" t="str">
        <f>+IFERROR(IF(Tabla3[[#This Row],[Cilindros totales pendientes]]&gt;0,1,""),"")</f>
        <v/>
      </c>
    </row>
    <row r="1511" spans="22:22" x14ac:dyDescent="0.25">
      <c r="V1511" s="1" t="str">
        <f>+IFERROR(IF(Tabla3[[#This Row],[Cilindros totales pendientes]]&gt;0,1,""),"")</f>
        <v/>
      </c>
    </row>
    <row r="1512" spans="22:22" x14ac:dyDescent="0.25">
      <c r="V1512" s="1" t="str">
        <f>+IFERROR(IF(Tabla3[[#This Row],[Cilindros totales pendientes]]&gt;0,1,""),"")</f>
        <v/>
      </c>
    </row>
    <row r="1513" spans="22:22" x14ac:dyDescent="0.25">
      <c r="V1513" s="1" t="str">
        <f>+IFERROR(IF(Tabla3[[#This Row],[Cilindros totales pendientes]]&gt;0,1,""),"")</f>
        <v/>
      </c>
    </row>
    <row r="1514" spans="22:22" x14ac:dyDescent="0.25">
      <c r="V1514" s="1" t="str">
        <f>+IFERROR(IF(Tabla3[[#This Row],[Cilindros totales pendientes]]&gt;0,1,""),"")</f>
        <v/>
      </c>
    </row>
    <row r="1515" spans="22:22" x14ac:dyDescent="0.25">
      <c r="V1515" s="1" t="str">
        <f>+IFERROR(IF(Tabla3[[#This Row],[Cilindros totales pendientes]]&gt;0,1,""),"")</f>
        <v/>
      </c>
    </row>
    <row r="1516" spans="22:22" x14ac:dyDescent="0.25">
      <c r="V1516" s="1" t="str">
        <f>+IFERROR(IF(Tabla3[[#This Row],[Cilindros totales pendientes]]&gt;0,1,""),"")</f>
        <v/>
      </c>
    </row>
    <row r="1517" spans="22:22" x14ac:dyDescent="0.25">
      <c r="V1517" s="1" t="str">
        <f>+IFERROR(IF(Tabla3[[#This Row],[Cilindros totales pendientes]]&gt;0,1,""),"")</f>
        <v/>
      </c>
    </row>
    <row r="1518" spans="22:22" x14ac:dyDescent="0.25">
      <c r="V1518" s="1" t="str">
        <f>+IFERROR(IF(Tabla3[[#This Row],[Cilindros totales pendientes]]&gt;0,1,""),"")</f>
        <v/>
      </c>
    </row>
    <row r="1519" spans="22:22" x14ac:dyDescent="0.25">
      <c r="V1519" s="1" t="str">
        <f>+IFERROR(IF(Tabla3[[#This Row],[Cilindros totales pendientes]]&gt;0,1,""),"")</f>
        <v/>
      </c>
    </row>
    <row r="1520" spans="22:22" x14ac:dyDescent="0.25">
      <c r="V1520" s="1" t="str">
        <f>+IFERROR(IF(Tabla3[[#This Row],[Cilindros totales pendientes]]&gt;0,1,""),"")</f>
        <v/>
      </c>
    </row>
    <row r="1521" spans="22:22" x14ac:dyDescent="0.25">
      <c r="V1521" s="1" t="str">
        <f>+IFERROR(IF(Tabla3[[#This Row],[Cilindros totales pendientes]]&gt;0,1,""),"")</f>
        <v/>
      </c>
    </row>
    <row r="1522" spans="22:22" x14ac:dyDescent="0.25">
      <c r="V1522" s="1" t="str">
        <f>+IFERROR(IF(Tabla3[[#This Row],[Cilindros totales pendientes]]&gt;0,1,""),"")</f>
        <v/>
      </c>
    </row>
    <row r="1523" spans="22:22" x14ac:dyDescent="0.25">
      <c r="V1523" s="1" t="str">
        <f>+IFERROR(IF(Tabla3[[#This Row],[Cilindros totales pendientes]]&gt;0,1,""),"")</f>
        <v/>
      </c>
    </row>
    <row r="1524" spans="22:22" x14ac:dyDescent="0.25">
      <c r="V1524" s="1" t="str">
        <f>+IFERROR(IF(Tabla3[[#This Row],[Cilindros totales pendientes]]&gt;0,1,""),"")</f>
        <v/>
      </c>
    </row>
    <row r="1525" spans="22:22" x14ac:dyDescent="0.25">
      <c r="V1525" s="1" t="str">
        <f>+IFERROR(IF(Tabla3[[#This Row],[Cilindros totales pendientes]]&gt;0,1,""),"")</f>
        <v/>
      </c>
    </row>
    <row r="1526" spans="22:22" x14ac:dyDescent="0.25">
      <c r="V1526" s="1" t="str">
        <f>+IFERROR(IF(Tabla3[[#This Row],[Cilindros totales pendientes]]&gt;0,1,""),"")</f>
        <v/>
      </c>
    </row>
    <row r="1527" spans="22:22" x14ac:dyDescent="0.25">
      <c r="V1527" s="1" t="str">
        <f>+IFERROR(IF(Tabla3[[#This Row],[Cilindros totales pendientes]]&gt;0,1,""),"")</f>
        <v/>
      </c>
    </row>
    <row r="1528" spans="22:22" x14ac:dyDescent="0.25">
      <c r="V1528" s="1" t="str">
        <f>+IFERROR(IF(Tabla3[[#This Row],[Cilindros totales pendientes]]&gt;0,1,""),"")</f>
        <v/>
      </c>
    </row>
    <row r="1529" spans="22:22" x14ac:dyDescent="0.25">
      <c r="V1529" s="1" t="str">
        <f>+IFERROR(IF(Tabla3[[#This Row],[Cilindros totales pendientes]]&gt;0,1,""),"")</f>
        <v/>
      </c>
    </row>
    <row r="1530" spans="22:22" x14ac:dyDescent="0.25">
      <c r="V1530" s="1" t="str">
        <f>+IFERROR(IF(Tabla3[[#This Row],[Cilindros totales pendientes]]&gt;0,1,""),"")</f>
        <v/>
      </c>
    </row>
    <row r="1531" spans="22:22" x14ac:dyDescent="0.25">
      <c r="V1531" s="1" t="str">
        <f>+IFERROR(IF(Tabla3[[#This Row],[Cilindros totales pendientes]]&gt;0,1,""),"")</f>
        <v/>
      </c>
    </row>
    <row r="1532" spans="22:22" x14ac:dyDescent="0.25">
      <c r="V1532" s="1" t="str">
        <f>+IFERROR(IF(Tabla3[[#This Row],[Cilindros totales pendientes]]&gt;0,1,""),"")</f>
        <v/>
      </c>
    </row>
    <row r="1533" spans="22:22" x14ac:dyDescent="0.25">
      <c r="V1533" s="1" t="str">
        <f>+IFERROR(IF(Tabla3[[#This Row],[Cilindros totales pendientes]]&gt;0,1,""),"")</f>
        <v/>
      </c>
    </row>
    <row r="1534" spans="22:22" x14ac:dyDescent="0.25">
      <c r="V1534" s="1" t="str">
        <f>+IFERROR(IF(Tabla3[[#This Row],[Cilindros totales pendientes]]&gt;0,1,""),"")</f>
        <v/>
      </c>
    </row>
    <row r="1535" spans="22:22" x14ac:dyDescent="0.25">
      <c r="V1535" s="1" t="str">
        <f>+IFERROR(IF(Tabla3[[#This Row],[Cilindros totales pendientes]]&gt;0,1,""),"")</f>
        <v/>
      </c>
    </row>
    <row r="1536" spans="22:22" x14ac:dyDescent="0.25">
      <c r="V1536" s="1" t="str">
        <f>+IFERROR(IF(Tabla3[[#This Row],[Cilindros totales pendientes]]&gt;0,1,""),"")</f>
        <v/>
      </c>
    </row>
    <row r="1537" spans="22:22" x14ac:dyDescent="0.25">
      <c r="V1537" s="1" t="str">
        <f>+IFERROR(IF(Tabla3[[#This Row],[Cilindros totales pendientes]]&gt;0,1,""),"")</f>
        <v/>
      </c>
    </row>
    <row r="1538" spans="22:22" x14ac:dyDescent="0.25">
      <c r="V1538" s="1" t="str">
        <f>+IFERROR(IF(Tabla3[[#This Row],[Cilindros totales pendientes]]&gt;0,1,""),"")</f>
        <v/>
      </c>
    </row>
    <row r="1539" spans="22:22" x14ac:dyDescent="0.25">
      <c r="V1539" s="1" t="str">
        <f>+IFERROR(IF(Tabla3[[#This Row],[Cilindros totales pendientes]]&gt;0,1,""),"")</f>
        <v/>
      </c>
    </row>
    <row r="1540" spans="22:22" x14ac:dyDescent="0.25">
      <c r="V1540" s="1" t="str">
        <f>+IFERROR(IF(Tabla3[[#This Row],[Cilindros totales pendientes]]&gt;0,1,""),"")</f>
        <v/>
      </c>
    </row>
    <row r="1541" spans="22:22" x14ac:dyDescent="0.25">
      <c r="V1541" s="1" t="str">
        <f>+IFERROR(IF(Tabla3[[#This Row],[Cilindros totales pendientes]]&gt;0,1,""),"")</f>
        <v/>
      </c>
    </row>
    <row r="1542" spans="22:22" x14ac:dyDescent="0.25">
      <c r="V1542" s="1" t="str">
        <f>+IFERROR(IF(Tabla3[[#This Row],[Cilindros totales pendientes]]&gt;0,1,""),"")</f>
        <v/>
      </c>
    </row>
    <row r="1543" spans="22:22" x14ac:dyDescent="0.25">
      <c r="V1543" s="1" t="str">
        <f>+IFERROR(IF(Tabla3[[#This Row],[Cilindros totales pendientes]]&gt;0,1,""),"")</f>
        <v/>
      </c>
    </row>
    <row r="1544" spans="22:22" x14ac:dyDescent="0.25">
      <c r="V1544" s="1" t="str">
        <f>+IFERROR(IF(Tabla3[[#This Row],[Cilindros totales pendientes]]&gt;0,1,""),"")</f>
        <v/>
      </c>
    </row>
    <row r="1545" spans="22:22" x14ac:dyDescent="0.25">
      <c r="V1545" s="1" t="str">
        <f>+IFERROR(IF(Tabla3[[#This Row],[Cilindros totales pendientes]]&gt;0,1,""),"")</f>
        <v/>
      </c>
    </row>
    <row r="1546" spans="22:22" x14ac:dyDescent="0.25">
      <c r="V1546" s="1" t="str">
        <f>+IFERROR(IF(Tabla3[[#This Row],[Cilindros totales pendientes]]&gt;0,1,""),"")</f>
        <v/>
      </c>
    </row>
    <row r="1547" spans="22:22" x14ac:dyDescent="0.25">
      <c r="V1547" s="1" t="str">
        <f>+IFERROR(IF(Tabla3[[#This Row],[Cilindros totales pendientes]]&gt;0,1,""),"")</f>
        <v/>
      </c>
    </row>
    <row r="1548" spans="22:22" x14ac:dyDescent="0.25">
      <c r="V1548" s="1" t="str">
        <f>+IFERROR(IF(Tabla3[[#This Row],[Cilindros totales pendientes]]&gt;0,1,""),"")</f>
        <v/>
      </c>
    </row>
    <row r="1549" spans="22:22" x14ac:dyDescent="0.25">
      <c r="V1549" s="1" t="str">
        <f>+IFERROR(IF(Tabla3[[#This Row],[Cilindros totales pendientes]]&gt;0,1,""),"")</f>
        <v/>
      </c>
    </row>
    <row r="1550" spans="22:22" x14ac:dyDescent="0.25">
      <c r="V1550" s="1" t="str">
        <f>+IFERROR(IF(Tabla3[[#This Row],[Cilindros totales pendientes]]&gt;0,1,""),"")</f>
        <v/>
      </c>
    </row>
    <row r="1551" spans="22:22" x14ac:dyDescent="0.25">
      <c r="V1551" s="1" t="str">
        <f>+IFERROR(IF(Tabla3[[#This Row],[Cilindros totales pendientes]]&gt;0,1,""),"")</f>
        <v/>
      </c>
    </row>
    <row r="1552" spans="22:22" x14ac:dyDescent="0.25">
      <c r="V1552" s="1" t="str">
        <f>+IFERROR(IF(Tabla3[[#This Row],[Cilindros totales pendientes]]&gt;0,1,""),"")</f>
        <v/>
      </c>
    </row>
    <row r="1553" spans="22:22" x14ac:dyDescent="0.25">
      <c r="V1553" s="1" t="str">
        <f>+IFERROR(IF(Tabla3[[#This Row],[Cilindros totales pendientes]]&gt;0,1,""),"")</f>
        <v/>
      </c>
    </row>
    <row r="1554" spans="22:22" x14ac:dyDescent="0.25">
      <c r="V1554" s="1" t="str">
        <f>+IFERROR(IF(Tabla3[[#This Row],[Cilindros totales pendientes]]&gt;0,1,""),"")</f>
        <v/>
      </c>
    </row>
    <row r="1555" spans="22:22" x14ac:dyDescent="0.25">
      <c r="V1555" s="1" t="str">
        <f>+IFERROR(IF(Tabla3[[#This Row],[Cilindros totales pendientes]]&gt;0,1,""),"")</f>
        <v/>
      </c>
    </row>
    <row r="1556" spans="22:22" x14ac:dyDescent="0.25">
      <c r="V1556" s="1" t="str">
        <f>+IFERROR(IF(Tabla3[[#This Row],[Cilindros totales pendientes]]&gt;0,1,""),"")</f>
        <v/>
      </c>
    </row>
    <row r="1557" spans="22:22" x14ac:dyDescent="0.25">
      <c r="V1557" s="1" t="str">
        <f>+IFERROR(IF(Tabla3[[#This Row],[Cilindros totales pendientes]]&gt;0,1,""),"")</f>
        <v/>
      </c>
    </row>
    <row r="1558" spans="22:22" x14ac:dyDescent="0.25">
      <c r="V1558" s="1" t="str">
        <f>+IFERROR(IF(Tabla3[[#This Row],[Cilindros totales pendientes]]&gt;0,1,""),"")</f>
        <v/>
      </c>
    </row>
    <row r="1559" spans="22:22" x14ac:dyDescent="0.25">
      <c r="V1559" s="1" t="str">
        <f>+IFERROR(IF(Tabla3[[#This Row],[Cilindros totales pendientes]]&gt;0,1,""),"")</f>
        <v/>
      </c>
    </row>
    <row r="1560" spans="22:22" x14ac:dyDescent="0.25">
      <c r="V1560" s="1" t="str">
        <f>+IFERROR(IF(Tabla3[[#This Row],[Cilindros totales pendientes]]&gt;0,1,""),"")</f>
        <v/>
      </c>
    </row>
    <row r="1561" spans="22:22" x14ac:dyDescent="0.25">
      <c r="V1561" s="1" t="str">
        <f>+IFERROR(IF(Tabla3[[#This Row],[Cilindros totales pendientes]]&gt;0,1,""),"")</f>
        <v/>
      </c>
    </row>
    <row r="1562" spans="22:22" x14ac:dyDescent="0.25">
      <c r="V1562" s="1" t="str">
        <f>+IFERROR(IF(Tabla3[[#This Row],[Cilindros totales pendientes]]&gt;0,1,""),"")</f>
        <v/>
      </c>
    </row>
    <row r="1563" spans="22:22" x14ac:dyDescent="0.25">
      <c r="V1563" s="1" t="str">
        <f>+IFERROR(IF(Tabla3[[#This Row],[Cilindros totales pendientes]]&gt;0,1,""),"")</f>
        <v/>
      </c>
    </row>
    <row r="1564" spans="22:22" x14ac:dyDescent="0.25">
      <c r="V1564" s="1" t="str">
        <f>+IFERROR(IF(Tabla3[[#This Row],[Cilindros totales pendientes]]&gt;0,1,""),"")</f>
        <v/>
      </c>
    </row>
    <row r="1565" spans="22:22" x14ac:dyDescent="0.25">
      <c r="V1565" s="1" t="str">
        <f>+IFERROR(IF(Tabla3[[#This Row],[Cilindros totales pendientes]]&gt;0,1,""),"")</f>
        <v/>
      </c>
    </row>
    <row r="1566" spans="22:22" x14ac:dyDescent="0.25">
      <c r="V1566" s="1" t="str">
        <f>+IFERROR(IF(Tabla3[[#This Row],[Cilindros totales pendientes]]&gt;0,1,""),"")</f>
        <v/>
      </c>
    </row>
    <row r="1567" spans="22:22" x14ac:dyDescent="0.25">
      <c r="V1567" s="1" t="str">
        <f>+IFERROR(IF(Tabla3[[#This Row],[Cilindros totales pendientes]]&gt;0,1,""),"")</f>
        <v/>
      </c>
    </row>
    <row r="1568" spans="22:22" x14ac:dyDescent="0.25">
      <c r="V1568" s="1" t="str">
        <f>+IFERROR(IF(Tabla3[[#This Row],[Cilindros totales pendientes]]&gt;0,1,""),"")</f>
        <v/>
      </c>
    </row>
    <row r="1569" spans="22:22" x14ac:dyDescent="0.25">
      <c r="V1569" s="1" t="str">
        <f>+IFERROR(IF(Tabla3[[#This Row],[Cilindros totales pendientes]]&gt;0,1,""),"")</f>
        <v/>
      </c>
    </row>
    <row r="1570" spans="22:22" x14ac:dyDescent="0.25">
      <c r="V1570" s="1" t="str">
        <f>+IFERROR(IF(Tabla3[[#This Row],[Cilindros totales pendientes]]&gt;0,1,""),"")</f>
        <v/>
      </c>
    </row>
    <row r="1571" spans="22:22" x14ac:dyDescent="0.25">
      <c r="V1571" s="1" t="str">
        <f>+IFERROR(IF(Tabla3[[#This Row],[Cilindros totales pendientes]]&gt;0,1,""),"")</f>
        <v/>
      </c>
    </row>
    <row r="1572" spans="22:22" x14ac:dyDescent="0.25">
      <c r="V1572" s="1" t="str">
        <f>+IFERROR(IF(Tabla3[[#This Row],[Cilindros totales pendientes]]&gt;0,1,""),"")</f>
        <v/>
      </c>
    </row>
    <row r="1573" spans="22:22" x14ac:dyDescent="0.25">
      <c r="V1573" s="1" t="str">
        <f>+IFERROR(IF(Tabla3[[#This Row],[Cilindros totales pendientes]]&gt;0,1,""),"")</f>
        <v/>
      </c>
    </row>
    <row r="1574" spans="22:22" x14ac:dyDescent="0.25">
      <c r="V1574" s="1" t="str">
        <f>+IFERROR(IF(Tabla3[[#This Row],[Cilindros totales pendientes]]&gt;0,1,""),"")</f>
        <v/>
      </c>
    </row>
    <row r="1575" spans="22:22" x14ac:dyDescent="0.25">
      <c r="V1575" s="1" t="str">
        <f>+IFERROR(IF(Tabla3[[#This Row],[Cilindros totales pendientes]]&gt;0,1,""),"")</f>
        <v/>
      </c>
    </row>
    <row r="1576" spans="22:22" x14ac:dyDescent="0.25">
      <c r="V1576" s="1" t="str">
        <f>+IFERROR(IF(Tabla3[[#This Row],[Cilindros totales pendientes]]&gt;0,1,""),"")</f>
        <v/>
      </c>
    </row>
    <row r="1577" spans="22:22" x14ac:dyDescent="0.25">
      <c r="V1577" s="1" t="str">
        <f>+IFERROR(IF(Tabla3[[#This Row],[Cilindros totales pendientes]]&gt;0,1,""),"")</f>
        <v/>
      </c>
    </row>
    <row r="1578" spans="22:22" x14ac:dyDescent="0.25">
      <c r="V1578" s="1" t="str">
        <f>+IFERROR(IF(Tabla3[[#This Row],[Cilindros totales pendientes]]&gt;0,1,""),"")</f>
        <v/>
      </c>
    </row>
    <row r="1579" spans="22:22" x14ac:dyDescent="0.25">
      <c r="V1579" s="1" t="str">
        <f>+IFERROR(IF(Tabla3[[#This Row],[Cilindros totales pendientes]]&gt;0,1,""),"")</f>
        <v/>
      </c>
    </row>
    <row r="1580" spans="22:22" x14ac:dyDescent="0.25">
      <c r="V1580" s="1" t="str">
        <f>+IFERROR(IF(Tabla3[[#This Row],[Cilindros totales pendientes]]&gt;0,1,""),"")</f>
        <v/>
      </c>
    </row>
    <row r="1581" spans="22:22" x14ac:dyDescent="0.25">
      <c r="V1581" s="1" t="str">
        <f>+IFERROR(IF(Tabla3[[#This Row],[Cilindros totales pendientes]]&gt;0,1,""),"")</f>
        <v/>
      </c>
    </row>
    <row r="1582" spans="22:22" x14ac:dyDescent="0.25">
      <c r="V1582" s="1" t="str">
        <f>+IFERROR(IF(Tabla3[[#This Row],[Cilindros totales pendientes]]&gt;0,1,""),"")</f>
        <v/>
      </c>
    </row>
    <row r="1583" spans="22:22" x14ac:dyDescent="0.25">
      <c r="V1583" s="1" t="str">
        <f>+IFERROR(IF(Tabla3[[#This Row],[Cilindros totales pendientes]]&gt;0,1,""),"")</f>
        <v/>
      </c>
    </row>
    <row r="1584" spans="22:22" x14ac:dyDescent="0.25">
      <c r="V1584" s="1" t="str">
        <f>+IFERROR(IF(Tabla3[[#This Row],[Cilindros totales pendientes]]&gt;0,1,""),"")</f>
        <v/>
      </c>
    </row>
    <row r="1585" spans="22:22" x14ac:dyDescent="0.25">
      <c r="V1585" s="1" t="str">
        <f>+IFERROR(IF(Tabla3[[#This Row],[Cilindros totales pendientes]]&gt;0,1,""),"")</f>
        <v/>
      </c>
    </row>
    <row r="1586" spans="22:22" x14ac:dyDescent="0.25">
      <c r="V1586" s="1" t="str">
        <f>+IFERROR(IF(Tabla3[[#This Row],[Cilindros totales pendientes]]&gt;0,1,""),"")</f>
        <v/>
      </c>
    </row>
    <row r="1587" spans="22:22" x14ac:dyDescent="0.25">
      <c r="V1587" s="1" t="str">
        <f>+IFERROR(IF(Tabla3[[#This Row],[Cilindros totales pendientes]]&gt;0,1,""),"")</f>
        <v/>
      </c>
    </row>
    <row r="1588" spans="22:22" x14ac:dyDescent="0.25">
      <c r="V1588" s="1" t="str">
        <f>+IFERROR(IF(Tabla3[[#This Row],[Cilindros totales pendientes]]&gt;0,1,""),"")</f>
        <v/>
      </c>
    </row>
    <row r="1589" spans="22:22" x14ac:dyDescent="0.25">
      <c r="V1589" s="1" t="str">
        <f>+IFERROR(IF(Tabla3[[#This Row],[Cilindros totales pendientes]]&gt;0,1,""),"")</f>
        <v/>
      </c>
    </row>
    <row r="1590" spans="22:22" x14ac:dyDescent="0.25">
      <c r="V1590" s="1" t="str">
        <f>+IFERROR(IF(Tabla3[[#This Row],[Cilindros totales pendientes]]&gt;0,1,""),"")</f>
        <v/>
      </c>
    </row>
    <row r="1591" spans="22:22" x14ac:dyDescent="0.25">
      <c r="V1591" s="1" t="str">
        <f>+IFERROR(IF(Tabla3[[#This Row],[Cilindros totales pendientes]]&gt;0,1,""),"")</f>
        <v/>
      </c>
    </row>
    <row r="1592" spans="22:22" x14ac:dyDescent="0.25">
      <c r="V1592" s="1" t="str">
        <f>+IFERROR(IF(Tabla3[[#This Row],[Cilindros totales pendientes]]&gt;0,1,""),"")</f>
        <v/>
      </c>
    </row>
    <row r="1593" spans="22:22" x14ac:dyDescent="0.25">
      <c r="V1593" s="1" t="str">
        <f>+IFERROR(IF(Tabla3[[#This Row],[Cilindros totales pendientes]]&gt;0,1,""),"")</f>
        <v/>
      </c>
    </row>
    <row r="1594" spans="22:22" x14ac:dyDescent="0.25">
      <c r="V1594" s="1" t="str">
        <f>+IFERROR(IF(Tabla3[[#This Row],[Cilindros totales pendientes]]&gt;0,1,""),"")</f>
        <v/>
      </c>
    </row>
    <row r="1595" spans="22:22" x14ac:dyDescent="0.25">
      <c r="V1595" s="1" t="str">
        <f>+IFERROR(IF(Tabla3[[#This Row],[Cilindros totales pendientes]]&gt;0,1,""),"")</f>
        <v/>
      </c>
    </row>
    <row r="1596" spans="22:22" x14ac:dyDescent="0.25">
      <c r="V1596" s="1" t="str">
        <f>+IFERROR(IF(Tabla3[[#This Row],[Cilindros totales pendientes]]&gt;0,1,""),"")</f>
        <v/>
      </c>
    </row>
    <row r="1597" spans="22:22" x14ac:dyDescent="0.25">
      <c r="V1597" s="1" t="str">
        <f>+IFERROR(IF(Tabla3[[#This Row],[Cilindros totales pendientes]]&gt;0,1,""),"")</f>
        <v/>
      </c>
    </row>
    <row r="1598" spans="22:22" x14ac:dyDescent="0.25">
      <c r="V1598" s="1" t="str">
        <f>+IFERROR(IF(Tabla3[[#This Row],[Cilindros totales pendientes]]&gt;0,1,""),"")</f>
        <v/>
      </c>
    </row>
    <row r="1599" spans="22:22" x14ac:dyDescent="0.25">
      <c r="V1599" s="1" t="str">
        <f>+IFERROR(IF(Tabla3[[#This Row],[Cilindros totales pendientes]]&gt;0,1,""),"")</f>
        <v/>
      </c>
    </row>
    <row r="1600" spans="22:22" x14ac:dyDescent="0.25">
      <c r="V1600" s="1" t="str">
        <f>+IFERROR(IF(Tabla3[[#This Row],[Cilindros totales pendientes]]&gt;0,1,""),"")</f>
        <v/>
      </c>
    </row>
    <row r="1601" spans="22:22" x14ac:dyDescent="0.25">
      <c r="V1601" s="1" t="str">
        <f>+IFERROR(IF(Tabla3[[#This Row],[Cilindros totales pendientes]]&gt;0,1,""),"")</f>
        <v/>
      </c>
    </row>
    <row r="1602" spans="22:22" x14ac:dyDescent="0.25">
      <c r="V1602" s="1" t="str">
        <f>+IFERROR(IF(Tabla3[[#This Row],[Cilindros totales pendientes]]&gt;0,1,""),"")</f>
        <v/>
      </c>
    </row>
    <row r="1603" spans="22:22" x14ac:dyDescent="0.25">
      <c r="V1603" s="1" t="str">
        <f>+IFERROR(IF(Tabla3[[#This Row],[Cilindros totales pendientes]]&gt;0,1,""),"")</f>
        <v/>
      </c>
    </row>
    <row r="1604" spans="22:22" x14ac:dyDescent="0.25">
      <c r="V1604" s="1" t="str">
        <f>+IFERROR(IF(Tabla3[[#This Row],[Cilindros totales pendientes]]&gt;0,1,""),"")</f>
        <v/>
      </c>
    </row>
    <row r="1605" spans="22:22" x14ac:dyDescent="0.25">
      <c r="V1605" s="1" t="str">
        <f>+IFERROR(IF(Tabla3[[#This Row],[Cilindros totales pendientes]]&gt;0,1,""),"")</f>
        <v/>
      </c>
    </row>
    <row r="1606" spans="22:22" x14ac:dyDescent="0.25">
      <c r="V1606" s="1" t="str">
        <f>+IFERROR(IF(Tabla3[[#This Row],[Cilindros totales pendientes]]&gt;0,1,""),"")</f>
        <v/>
      </c>
    </row>
    <row r="1607" spans="22:22" x14ac:dyDescent="0.25">
      <c r="V1607" s="1" t="str">
        <f>+IFERROR(IF(Tabla3[[#This Row],[Cilindros totales pendientes]]&gt;0,1,""),"")</f>
        <v/>
      </c>
    </row>
    <row r="1608" spans="22:22" x14ac:dyDescent="0.25">
      <c r="V1608" s="1" t="str">
        <f>+IFERROR(IF(Tabla3[[#This Row],[Cilindros totales pendientes]]&gt;0,1,""),"")</f>
        <v/>
      </c>
    </row>
    <row r="1609" spans="22:22" x14ac:dyDescent="0.25">
      <c r="V1609" s="1" t="str">
        <f>+IFERROR(IF(Tabla3[[#This Row],[Cilindros totales pendientes]]&gt;0,1,""),"")</f>
        <v/>
      </c>
    </row>
    <row r="1610" spans="22:22" x14ac:dyDescent="0.25">
      <c r="V1610" s="1" t="str">
        <f>+IFERROR(IF(Tabla3[[#This Row],[Cilindros totales pendientes]]&gt;0,1,""),"")</f>
        <v/>
      </c>
    </row>
    <row r="1611" spans="22:22" x14ac:dyDescent="0.25">
      <c r="V1611" s="1" t="str">
        <f>+IFERROR(IF(Tabla3[[#This Row],[Cilindros totales pendientes]]&gt;0,1,""),"")</f>
        <v/>
      </c>
    </row>
    <row r="1612" spans="22:22" x14ac:dyDescent="0.25">
      <c r="V1612" s="1" t="str">
        <f>+IFERROR(IF(Tabla3[[#This Row],[Cilindros totales pendientes]]&gt;0,1,""),"")</f>
        <v/>
      </c>
    </row>
    <row r="1613" spans="22:22" x14ac:dyDescent="0.25">
      <c r="V1613" s="1" t="str">
        <f>+IFERROR(IF(Tabla3[[#This Row],[Cilindros totales pendientes]]&gt;0,1,""),"")</f>
        <v/>
      </c>
    </row>
    <row r="1614" spans="22:22" x14ac:dyDescent="0.25">
      <c r="V1614" s="1" t="str">
        <f>+IFERROR(IF(Tabla3[[#This Row],[Cilindros totales pendientes]]&gt;0,1,""),"")</f>
        <v/>
      </c>
    </row>
    <row r="1615" spans="22:22" x14ac:dyDescent="0.25">
      <c r="V1615" s="1" t="str">
        <f>+IFERROR(IF(Tabla3[[#This Row],[Cilindros totales pendientes]]&gt;0,1,""),"")</f>
        <v/>
      </c>
    </row>
    <row r="1616" spans="22:22" x14ac:dyDescent="0.25">
      <c r="V1616" s="1" t="str">
        <f>+IFERROR(IF(Tabla3[[#This Row],[Cilindros totales pendientes]]&gt;0,1,""),"")</f>
        <v/>
      </c>
    </row>
    <row r="1617" spans="22:22" x14ac:dyDescent="0.25">
      <c r="V1617" s="1" t="str">
        <f>+IFERROR(IF(Tabla3[[#This Row],[Cilindros totales pendientes]]&gt;0,1,""),"")</f>
        <v/>
      </c>
    </row>
    <row r="1618" spans="22:22" x14ac:dyDescent="0.25">
      <c r="V1618" s="1" t="str">
        <f>+IFERROR(IF(Tabla3[[#This Row],[Cilindros totales pendientes]]&gt;0,1,""),"")</f>
        <v/>
      </c>
    </row>
    <row r="1619" spans="22:22" x14ac:dyDescent="0.25">
      <c r="V1619" s="1" t="str">
        <f>+IFERROR(IF(Tabla3[[#This Row],[Cilindros totales pendientes]]&gt;0,1,""),"")</f>
        <v/>
      </c>
    </row>
    <row r="1620" spans="22:22" x14ac:dyDescent="0.25">
      <c r="V1620" s="1" t="str">
        <f>+IFERROR(IF(Tabla3[[#This Row],[Cilindros totales pendientes]]&gt;0,1,""),"")</f>
        <v/>
      </c>
    </row>
    <row r="1621" spans="22:22" x14ac:dyDescent="0.25">
      <c r="V1621" s="1" t="str">
        <f>+IFERROR(IF(Tabla3[[#This Row],[Cilindros totales pendientes]]&gt;0,1,""),"")</f>
        <v/>
      </c>
    </row>
    <row r="1622" spans="22:22" x14ac:dyDescent="0.25">
      <c r="V1622" s="1" t="str">
        <f>+IFERROR(IF(Tabla3[[#This Row],[Cilindros totales pendientes]]&gt;0,1,""),"")</f>
        <v/>
      </c>
    </row>
    <row r="1623" spans="22:22" x14ac:dyDescent="0.25">
      <c r="V1623" s="1" t="str">
        <f>+IFERROR(IF(Tabla3[[#This Row],[Cilindros totales pendientes]]&gt;0,1,""),"")</f>
        <v/>
      </c>
    </row>
    <row r="1624" spans="22:22" x14ac:dyDescent="0.25">
      <c r="V1624" s="1" t="str">
        <f>+IFERROR(IF(Tabla3[[#This Row],[Cilindros totales pendientes]]&gt;0,1,""),"")</f>
        <v/>
      </c>
    </row>
    <row r="1625" spans="22:22" x14ac:dyDescent="0.25">
      <c r="V1625" s="1" t="str">
        <f>+IFERROR(IF(Tabla3[[#This Row],[Cilindros totales pendientes]]&gt;0,1,""),"")</f>
        <v/>
      </c>
    </row>
    <row r="1626" spans="22:22" x14ac:dyDescent="0.25">
      <c r="V1626" s="1" t="str">
        <f>+IFERROR(IF(Tabla3[[#This Row],[Cilindros totales pendientes]]&gt;0,1,""),"")</f>
        <v/>
      </c>
    </row>
    <row r="1627" spans="22:22" x14ac:dyDescent="0.25">
      <c r="V1627" s="1" t="str">
        <f>+IFERROR(IF(Tabla3[[#This Row],[Cilindros totales pendientes]]&gt;0,1,""),"")</f>
        <v/>
      </c>
    </row>
    <row r="1628" spans="22:22" x14ac:dyDescent="0.25">
      <c r="V1628" s="1" t="str">
        <f>+IFERROR(IF(Tabla3[[#This Row],[Cilindros totales pendientes]]&gt;0,1,""),"")</f>
        <v/>
      </c>
    </row>
    <row r="1629" spans="22:22" x14ac:dyDescent="0.25">
      <c r="V1629" s="1" t="str">
        <f>+IFERROR(IF(Tabla3[[#This Row],[Cilindros totales pendientes]]&gt;0,1,""),"")</f>
        <v/>
      </c>
    </row>
    <row r="1630" spans="22:22" x14ac:dyDescent="0.25">
      <c r="V1630" s="1" t="str">
        <f>+IFERROR(IF(Tabla3[[#This Row],[Cilindros totales pendientes]]&gt;0,1,""),"")</f>
        <v/>
      </c>
    </row>
    <row r="1631" spans="22:22" x14ac:dyDescent="0.25">
      <c r="V1631" s="1" t="str">
        <f>+IFERROR(IF(Tabla3[[#This Row],[Cilindros totales pendientes]]&gt;0,1,""),"")</f>
        <v/>
      </c>
    </row>
    <row r="1632" spans="22:22" x14ac:dyDescent="0.25">
      <c r="V1632" s="1" t="str">
        <f>+IFERROR(IF(Tabla3[[#This Row],[Cilindros totales pendientes]]&gt;0,1,""),"")</f>
        <v/>
      </c>
    </row>
    <row r="1633" spans="22:22" x14ac:dyDescent="0.25">
      <c r="V1633" s="1" t="str">
        <f>+IFERROR(IF(Tabla3[[#This Row],[Cilindros totales pendientes]]&gt;0,1,""),"")</f>
        <v/>
      </c>
    </row>
    <row r="1634" spans="22:22" x14ac:dyDescent="0.25">
      <c r="V1634" s="1" t="str">
        <f>+IFERROR(IF(Tabla3[[#This Row],[Cilindros totales pendientes]]&gt;0,1,""),"")</f>
        <v/>
      </c>
    </row>
    <row r="1635" spans="22:22" x14ac:dyDescent="0.25">
      <c r="V1635" s="1" t="str">
        <f>+IFERROR(IF(Tabla3[[#This Row],[Cilindros totales pendientes]]&gt;0,1,""),"")</f>
        <v/>
      </c>
    </row>
    <row r="1636" spans="22:22" x14ac:dyDescent="0.25">
      <c r="V1636" s="1" t="str">
        <f>+IFERROR(IF(Tabla3[[#This Row],[Cilindros totales pendientes]]&gt;0,1,""),"")</f>
        <v/>
      </c>
    </row>
    <row r="1637" spans="22:22" x14ac:dyDescent="0.25">
      <c r="V1637" s="1" t="str">
        <f>+IFERROR(IF(Tabla3[[#This Row],[Cilindros totales pendientes]]&gt;0,1,""),"")</f>
        <v/>
      </c>
    </row>
    <row r="1638" spans="22:22" x14ac:dyDescent="0.25">
      <c r="V1638" s="1" t="str">
        <f>+IFERROR(IF(Tabla3[[#This Row],[Cilindros totales pendientes]]&gt;0,1,""),"")</f>
        <v/>
      </c>
    </row>
    <row r="1639" spans="22:22" x14ac:dyDescent="0.25">
      <c r="V1639" s="1" t="str">
        <f>+IFERROR(IF(Tabla3[[#This Row],[Cilindros totales pendientes]]&gt;0,1,""),"")</f>
        <v/>
      </c>
    </row>
    <row r="1640" spans="22:22" x14ac:dyDescent="0.25">
      <c r="V1640" s="1" t="str">
        <f>+IFERROR(IF(Tabla3[[#This Row],[Cilindros totales pendientes]]&gt;0,1,""),"")</f>
        <v/>
      </c>
    </row>
    <row r="1641" spans="22:22" x14ac:dyDescent="0.25">
      <c r="V1641" s="1" t="str">
        <f>+IFERROR(IF(Tabla3[[#This Row],[Cilindros totales pendientes]]&gt;0,1,""),"")</f>
        <v/>
      </c>
    </row>
    <row r="1642" spans="22:22" x14ac:dyDescent="0.25">
      <c r="V1642" s="1" t="str">
        <f>+IFERROR(IF(Tabla3[[#This Row],[Cilindros totales pendientes]]&gt;0,1,""),"")</f>
        <v/>
      </c>
    </row>
    <row r="1643" spans="22:22" x14ac:dyDescent="0.25">
      <c r="V1643" s="1" t="str">
        <f>+IFERROR(IF(Tabla3[[#This Row],[Cilindros totales pendientes]]&gt;0,1,""),"")</f>
        <v/>
      </c>
    </row>
    <row r="1644" spans="22:22" x14ac:dyDescent="0.25">
      <c r="V1644" s="1" t="str">
        <f>+IFERROR(IF(Tabla3[[#This Row],[Cilindros totales pendientes]]&gt;0,1,""),"")</f>
        <v/>
      </c>
    </row>
    <row r="1645" spans="22:22" x14ac:dyDescent="0.25">
      <c r="V1645" s="1" t="str">
        <f>+IFERROR(IF(Tabla3[[#This Row],[Cilindros totales pendientes]]&gt;0,1,""),"")</f>
        <v/>
      </c>
    </row>
    <row r="1646" spans="22:22" x14ac:dyDescent="0.25">
      <c r="V1646" s="1" t="str">
        <f>+IFERROR(IF(Tabla3[[#This Row],[Cilindros totales pendientes]]&gt;0,1,""),"")</f>
        <v/>
      </c>
    </row>
    <row r="1647" spans="22:22" x14ac:dyDescent="0.25">
      <c r="V1647" s="1" t="str">
        <f>+IFERROR(IF(Tabla3[[#This Row],[Cilindros totales pendientes]]&gt;0,1,""),"")</f>
        <v/>
      </c>
    </row>
    <row r="1648" spans="22:22" x14ac:dyDescent="0.25">
      <c r="V1648" s="1" t="str">
        <f>+IFERROR(IF(Tabla3[[#This Row],[Cilindros totales pendientes]]&gt;0,1,""),"")</f>
        <v/>
      </c>
    </row>
    <row r="1649" spans="22:22" x14ac:dyDescent="0.25">
      <c r="V1649" s="1" t="str">
        <f>+IFERROR(IF(Tabla3[[#This Row],[Cilindros totales pendientes]]&gt;0,1,""),"")</f>
        <v/>
      </c>
    </row>
    <row r="1650" spans="22:22" x14ac:dyDescent="0.25">
      <c r="V1650" s="1" t="str">
        <f>+IFERROR(IF(Tabla3[[#This Row],[Cilindros totales pendientes]]&gt;0,1,""),"")</f>
        <v/>
      </c>
    </row>
    <row r="1651" spans="22:22" x14ac:dyDescent="0.25">
      <c r="V1651" s="1" t="str">
        <f>+IFERROR(IF(Tabla3[[#This Row],[Cilindros totales pendientes]]&gt;0,1,""),"")</f>
        <v/>
      </c>
    </row>
    <row r="1652" spans="22:22" x14ac:dyDescent="0.25">
      <c r="V1652" s="1" t="str">
        <f>+IFERROR(IF(Tabla3[[#This Row],[Cilindros totales pendientes]]&gt;0,1,""),"")</f>
        <v/>
      </c>
    </row>
    <row r="1653" spans="22:22" x14ac:dyDescent="0.25">
      <c r="V1653" s="1" t="str">
        <f>+IFERROR(IF(Tabla3[[#This Row],[Cilindros totales pendientes]]&gt;0,1,""),"")</f>
        <v/>
      </c>
    </row>
    <row r="1654" spans="22:22" x14ac:dyDescent="0.25">
      <c r="V1654" s="1" t="str">
        <f>+IFERROR(IF(Tabla3[[#This Row],[Cilindros totales pendientes]]&gt;0,1,""),"")</f>
        <v/>
      </c>
    </row>
    <row r="1655" spans="22:22" x14ac:dyDescent="0.25">
      <c r="V1655" s="1" t="str">
        <f>+IFERROR(IF(Tabla3[[#This Row],[Cilindros totales pendientes]]&gt;0,1,""),"")</f>
        <v/>
      </c>
    </row>
    <row r="1656" spans="22:22" x14ac:dyDescent="0.25">
      <c r="V1656" s="1" t="str">
        <f>+IFERROR(IF(Tabla3[[#This Row],[Cilindros totales pendientes]]&gt;0,1,""),"")</f>
        <v/>
      </c>
    </row>
    <row r="1657" spans="22:22" x14ac:dyDescent="0.25">
      <c r="V1657" s="1" t="str">
        <f>+IFERROR(IF(Tabla3[[#This Row],[Cilindros totales pendientes]]&gt;0,1,""),"")</f>
        <v/>
      </c>
    </row>
    <row r="1658" spans="22:22" x14ac:dyDescent="0.25">
      <c r="V1658" s="1" t="str">
        <f>+IFERROR(IF(Tabla3[[#This Row],[Cilindros totales pendientes]]&gt;0,1,""),"")</f>
        <v/>
      </c>
    </row>
    <row r="1659" spans="22:22" x14ac:dyDescent="0.25">
      <c r="V1659" s="1" t="str">
        <f>+IFERROR(IF(Tabla3[[#This Row],[Cilindros totales pendientes]]&gt;0,1,""),"")</f>
        <v/>
      </c>
    </row>
    <row r="1660" spans="22:22" x14ac:dyDescent="0.25">
      <c r="V1660" s="1" t="str">
        <f>+IFERROR(IF(Tabla3[[#This Row],[Cilindros totales pendientes]]&gt;0,1,""),"")</f>
        <v/>
      </c>
    </row>
    <row r="1661" spans="22:22" x14ac:dyDescent="0.25">
      <c r="V1661" s="1" t="str">
        <f>+IFERROR(IF(Tabla3[[#This Row],[Cilindros totales pendientes]]&gt;0,1,""),"")</f>
        <v/>
      </c>
    </row>
    <row r="1662" spans="22:22" x14ac:dyDescent="0.25">
      <c r="V1662" s="1" t="str">
        <f>+IFERROR(IF(Tabla3[[#This Row],[Cilindros totales pendientes]]&gt;0,1,""),"")</f>
        <v/>
      </c>
    </row>
    <row r="1663" spans="22:22" x14ac:dyDescent="0.25">
      <c r="V1663" s="1" t="str">
        <f>+IFERROR(IF(Tabla3[[#This Row],[Cilindros totales pendientes]]&gt;0,1,""),"")</f>
        <v/>
      </c>
    </row>
    <row r="1664" spans="22:22" x14ac:dyDescent="0.25">
      <c r="V1664" s="1" t="str">
        <f>+IFERROR(IF(Tabla3[[#This Row],[Cilindros totales pendientes]]&gt;0,1,""),"")</f>
        <v/>
      </c>
    </row>
    <row r="1665" spans="22:22" x14ac:dyDescent="0.25">
      <c r="V1665" s="1" t="str">
        <f>+IFERROR(IF(Tabla3[[#This Row],[Cilindros totales pendientes]]&gt;0,1,""),"")</f>
        <v/>
      </c>
    </row>
    <row r="1666" spans="22:22" x14ac:dyDescent="0.25">
      <c r="V1666" s="1" t="str">
        <f>+IFERROR(IF(Tabla3[[#This Row],[Cilindros totales pendientes]]&gt;0,1,""),"")</f>
        <v/>
      </c>
    </row>
    <row r="1667" spans="22:22" x14ac:dyDescent="0.25">
      <c r="V1667" s="1" t="str">
        <f>+IFERROR(IF(Tabla3[[#This Row],[Cilindros totales pendientes]]&gt;0,1,""),"")</f>
        <v/>
      </c>
    </row>
    <row r="1668" spans="22:22" x14ac:dyDescent="0.25">
      <c r="V1668" s="1" t="str">
        <f>+IFERROR(IF(Tabla3[[#This Row],[Cilindros totales pendientes]]&gt;0,1,""),"")</f>
        <v/>
      </c>
    </row>
    <row r="1669" spans="22:22" x14ac:dyDescent="0.25">
      <c r="V1669" s="1" t="str">
        <f>+IFERROR(IF(Tabla3[[#This Row],[Cilindros totales pendientes]]&gt;0,1,""),"")</f>
        <v/>
      </c>
    </row>
    <row r="1670" spans="22:22" x14ac:dyDescent="0.25">
      <c r="V1670" s="1" t="str">
        <f>+IFERROR(IF(Tabla3[[#This Row],[Cilindros totales pendientes]]&gt;0,1,""),"")</f>
        <v/>
      </c>
    </row>
    <row r="1671" spans="22:22" x14ac:dyDescent="0.25">
      <c r="V1671" s="1" t="str">
        <f>+IFERROR(IF(Tabla3[[#This Row],[Cilindros totales pendientes]]&gt;0,1,""),"")</f>
        <v/>
      </c>
    </row>
    <row r="1672" spans="22:22" x14ac:dyDescent="0.25">
      <c r="V1672" s="1" t="str">
        <f>+IFERROR(IF(Tabla3[[#This Row],[Cilindros totales pendientes]]&gt;0,1,""),"")</f>
        <v/>
      </c>
    </row>
    <row r="1673" spans="22:22" x14ac:dyDescent="0.25">
      <c r="V1673" s="1" t="str">
        <f>+IFERROR(IF(Tabla3[[#This Row],[Cilindros totales pendientes]]&gt;0,1,""),"")</f>
        <v/>
      </c>
    </row>
    <row r="1674" spans="22:22" x14ac:dyDescent="0.25">
      <c r="V1674" s="1" t="str">
        <f>+IFERROR(IF(Tabla3[[#This Row],[Cilindros totales pendientes]]&gt;0,1,""),"")</f>
        <v/>
      </c>
    </row>
    <row r="1675" spans="22:22" x14ac:dyDescent="0.25">
      <c r="V1675" s="1" t="str">
        <f>+IFERROR(IF(Tabla3[[#This Row],[Cilindros totales pendientes]]&gt;0,1,""),"")</f>
        <v/>
      </c>
    </row>
    <row r="1676" spans="22:22" x14ac:dyDescent="0.25">
      <c r="V1676" s="1" t="str">
        <f>+IFERROR(IF(Tabla3[[#This Row],[Cilindros totales pendientes]]&gt;0,1,""),"")</f>
        <v/>
      </c>
    </row>
    <row r="1677" spans="22:22" x14ac:dyDescent="0.25">
      <c r="V1677" s="1" t="str">
        <f>+IFERROR(IF(Tabla3[[#This Row],[Cilindros totales pendientes]]&gt;0,1,""),"")</f>
        <v/>
      </c>
    </row>
    <row r="1678" spans="22:22" x14ac:dyDescent="0.25">
      <c r="V1678" s="1" t="str">
        <f>+IFERROR(IF(Tabla3[[#This Row],[Cilindros totales pendientes]]&gt;0,1,""),"")</f>
        <v/>
      </c>
    </row>
    <row r="1679" spans="22:22" x14ac:dyDescent="0.25">
      <c r="V1679" s="1" t="str">
        <f>+IFERROR(IF(Tabla3[[#This Row],[Cilindros totales pendientes]]&gt;0,1,""),"")</f>
        <v/>
      </c>
    </row>
    <row r="1680" spans="22:22" x14ac:dyDescent="0.25">
      <c r="V1680" s="1" t="str">
        <f>+IFERROR(IF(Tabla3[[#This Row],[Cilindros totales pendientes]]&gt;0,1,""),"")</f>
        <v/>
      </c>
    </row>
    <row r="1681" spans="22:22" x14ac:dyDescent="0.25">
      <c r="V1681" s="1" t="str">
        <f>+IFERROR(IF(Tabla3[[#This Row],[Cilindros totales pendientes]]&gt;0,1,""),"")</f>
        <v/>
      </c>
    </row>
    <row r="1682" spans="22:22" x14ac:dyDescent="0.25">
      <c r="V1682" s="1" t="str">
        <f>+IFERROR(IF(Tabla3[[#This Row],[Cilindros totales pendientes]]&gt;0,1,""),"")</f>
        <v/>
      </c>
    </row>
    <row r="1683" spans="22:22" x14ac:dyDescent="0.25">
      <c r="V1683" s="1" t="str">
        <f>+IFERROR(IF(Tabla3[[#This Row],[Cilindros totales pendientes]]&gt;0,1,""),"")</f>
        <v/>
      </c>
    </row>
    <row r="1684" spans="22:22" x14ac:dyDescent="0.25">
      <c r="V1684" s="1" t="str">
        <f>+IFERROR(IF(Tabla3[[#This Row],[Cilindros totales pendientes]]&gt;0,1,""),"")</f>
        <v/>
      </c>
    </row>
    <row r="1685" spans="22:22" x14ac:dyDescent="0.25">
      <c r="V1685" s="1" t="str">
        <f>+IFERROR(IF(Tabla3[[#This Row],[Cilindros totales pendientes]]&gt;0,1,""),"")</f>
        <v/>
      </c>
    </row>
    <row r="1686" spans="22:22" x14ac:dyDescent="0.25">
      <c r="V1686" s="1" t="str">
        <f>+IFERROR(IF(Tabla3[[#This Row],[Cilindros totales pendientes]]&gt;0,1,""),"")</f>
        <v/>
      </c>
    </row>
    <row r="1687" spans="22:22" x14ac:dyDescent="0.25">
      <c r="V1687" s="1" t="str">
        <f>+IFERROR(IF(Tabla3[[#This Row],[Cilindros totales pendientes]]&gt;0,1,""),"")</f>
        <v/>
      </c>
    </row>
    <row r="1688" spans="22:22" x14ac:dyDescent="0.25">
      <c r="V1688" s="1" t="str">
        <f>+IFERROR(IF(Tabla3[[#This Row],[Cilindros totales pendientes]]&gt;0,1,""),"")</f>
        <v/>
      </c>
    </row>
    <row r="1689" spans="22:22" x14ac:dyDescent="0.25">
      <c r="V1689" s="1" t="str">
        <f>+IFERROR(IF(Tabla3[[#This Row],[Cilindros totales pendientes]]&gt;0,1,""),"")</f>
        <v/>
      </c>
    </row>
    <row r="1690" spans="22:22" x14ac:dyDescent="0.25">
      <c r="V1690" s="1" t="str">
        <f>+IFERROR(IF(Tabla3[[#This Row],[Cilindros totales pendientes]]&gt;0,1,""),"")</f>
        <v/>
      </c>
    </row>
    <row r="1691" spans="22:22" x14ac:dyDescent="0.25">
      <c r="V1691" s="1" t="str">
        <f>+IFERROR(IF(Tabla3[[#This Row],[Cilindros totales pendientes]]&gt;0,1,""),"")</f>
        <v/>
      </c>
    </row>
    <row r="1692" spans="22:22" x14ac:dyDescent="0.25">
      <c r="V1692" s="1" t="str">
        <f>+IFERROR(IF(Tabla3[[#This Row],[Cilindros totales pendientes]]&gt;0,1,""),"")</f>
        <v/>
      </c>
    </row>
    <row r="1693" spans="22:22" x14ac:dyDescent="0.25">
      <c r="V1693" s="1" t="str">
        <f>+IFERROR(IF(Tabla3[[#This Row],[Cilindros totales pendientes]]&gt;0,1,""),"")</f>
        <v/>
      </c>
    </row>
    <row r="1694" spans="22:22" x14ac:dyDescent="0.25">
      <c r="V1694" s="1" t="str">
        <f>+IFERROR(IF(Tabla3[[#This Row],[Cilindros totales pendientes]]&gt;0,1,""),"")</f>
        <v/>
      </c>
    </row>
    <row r="1695" spans="22:22" x14ac:dyDescent="0.25">
      <c r="V1695" s="1" t="str">
        <f>+IFERROR(IF(Tabla3[[#This Row],[Cilindros totales pendientes]]&gt;0,1,""),"")</f>
        <v/>
      </c>
    </row>
    <row r="1696" spans="22:22" x14ac:dyDescent="0.25">
      <c r="V1696" s="1" t="str">
        <f>+IFERROR(IF(Tabla3[[#This Row],[Cilindros totales pendientes]]&gt;0,1,""),"")</f>
        <v/>
      </c>
    </row>
    <row r="1697" spans="22:22" x14ac:dyDescent="0.25">
      <c r="V1697" s="1" t="str">
        <f>+IFERROR(IF(Tabla3[[#This Row],[Cilindros totales pendientes]]&gt;0,1,""),"")</f>
        <v/>
      </c>
    </row>
    <row r="1698" spans="22:22" x14ac:dyDescent="0.25">
      <c r="V1698" s="1" t="str">
        <f>+IFERROR(IF(Tabla3[[#This Row],[Cilindros totales pendientes]]&gt;0,1,""),"")</f>
        <v/>
      </c>
    </row>
    <row r="1699" spans="22:22" x14ac:dyDescent="0.25">
      <c r="V1699" s="1" t="str">
        <f>+IFERROR(IF(Tabla3[[#This Row],[Cilindros totales pendientes]]&gt;0,1,""),"")</f>
        <v/>
      </c>
    </row>
    <row r="1700" spans="22:22" x14ac:dyDescent="0.25">
      <c r="V1700" s="1" t="str">
        <f>+IFERROR(IF(Tabla3[[#This Row],[Cilindros totales pendientes]]&gt;0,1,""),"")</f>
        <v/>
      </c>
    </row>
    <row r="1701" spans="22:22" x14ac:dyDescent="0.25">
      <c r="V1701" s="1" t="str">
        <f>+IFERROR(IF(Tabla3[[#This Row],[Cilindros totales pendientes]]&gt;0,1,""),"")</f>
        <v/>
      </c>
    </row>
    <row r="1702" spans="22:22" x14ac:dyDescent="0.25">
      <c r="V1702" s="1" t="str">
        <f>+IFERROR(IF(Tabla3[[#This Row],[Cilindros totales pendientes]]&gt;0,1,""),"")</f>
        <v/>
      </c>
    </row>
    <row r="1703" spans="22:22" x14ac:dyDescent="0.25">
      <c r="V1703" s="1" t="str">
        <f>+IFERROR(IF(Tabla3[[#This Row],[Cilindros totales pendientes]]&gt;0,1,""),"")</f>
        <v/>
      </c>
    </row>
    <row r="1704" spans="22:22" x14ac:dyDescent="0.25">
      <c r="V1704" s="1" t="str">
        <f>+IFERROR(IF(Tabla3[[#This Row],[Cilindros totales pendientes]]&gt;0,1,""),"")</f>
        <v/>
      </c>
    </row>
    <row r="1705" spans="22:22" x14ac:dyDescent="0.25">
      <c r="V1705" s="1" t="str">
        <f>+IFERROR(IF(Tabla3[[#This Row],[Cilindros totales pendientes]]&gt;0,1,""),"")</f>
        <v/>
      </c>
    </row>
    <row r="1706" spans="22:22" x14ac:dyDescent="0.25">
      <c r="V1706" s="1" t="str">
        <f>+IFERROR(IF(Tabla3[[#This Row],[Cilindros totales pendientes]]&gt;0,1,""),"")</f>
        <v/>
      </c>
    </row>
    <row r="1707" spans="22:22" x14ac:dyDescent="0.25">
      <c r="V1707" s="1" t="str">
        <f>+IFERROR(IF(Tabla3[[#This Row],[Cilindros totales pendientes]]&gt;0,1,""),"")</f>
        <v/>
      </c>
    </row>
    <row r="1708" spans="22:22" x14ac:dyDescent="0.25">
      <c r="V1708" s="1" t="str">
        <f>+IFERROR(IF(Tabla3[[#This Row],[Cilindros totales pendientes]]&gt;0,1,""),"")</f>
        <v/>
      </c>
    </row>
    <row r="1709" spans="22:22" x14ac:dyDescent="0.25">
      <c r="V1709" s="1" t="str">
        <f>+IFERROR(IF(Tabla3[[#This Row],[Cilindros totales pendientes]]&gt;0,1,""),"")</f>
        <v/>
      </c>
    </row>
    <row r="1710" spans="22:22" x14ac:dyDescent="0.25">
      <c r="V1710" s="1" t="str">
        <f>+IFERROR(IF(Tabla3[[#This Row],[Cilindros totales pendientes]]&gt;0,1,""),"")</f>
        <v/>
      </c>
    </row>
    <row r="1711" spans="22:22" x14ac:dyDescent="0.25">
      <c r="V1711" s="1" t="str">
        <f>+IFERROR(IF(Tabla3[[#This Row],[Cilindros totales pendientes]]&gt;0,1,""),"")</f>
        <v/>
      </c>
    </row>
    <row r="1712" spans="22:22" x14ac:dyDescent="0.25">
      <c r="V1712" s="1" t="str">
        <f>+IFERROR(IF(Tabla3[[#This Row],[Cilindros totales pendientes]]&gt;0,1,""),"")</f>
        <v/>
      </c>
    </row>
    <row r="1713" spans="22:22" x14ac:dyDescent="0.25">
      <c r="V1713" s="1" t="str">
        <f>+IFERROR(IF(Tabla3[[#This Row],[Cilindros totales pendientes]]&gt;0,1,""),"")</f>
        <v/>
      </c>
    </row>
    <row r="1714" spans="22:22" x14ac:dyDescent="0.25">
      <c r="V1714" s="1" t="str">
        <f>+IFERROR(IF(Tabla3[[#This Row],[Cilindros totales pendientes]]&gt;0,1,""),"")</f>
        <v/>
      </c>
    </row>
    <row r="1715" spans="22:22" x14ac:dyDescent="0.25">
      <c r="V1715" s="1" t="str">
        <f>+IFERROR(IF(Tabla3[[#This Row],[Cilindros totales pendientes]]&gt;0,1,""),"")</f>
        <v/>
      </c>
    </row>
    <row r="1716" spans="22:22" x14ac:dyDescent="0.25">
      <c r="V1716" s="1" t="str">
        <f>+IFERROR(IF(Tabla3[[#This Row],[Cilindros totales pendientes]]&gt;0,1,""),"")</f>
        <v/>
      </c>
    </row>
    <row r="1717" spans="22:22" x14ac:dyDescent="0.25">
      <c r="V1717" s="1" t="str">
        <f>+IFERROR(IF(Tabla3[[#This Row],[Cilindros totales pendientes]]&gt;0,1,""),"")</f>
        <v/>
      </c>
    </row>
    <row r="1718" spans="22:22" x14ac:dyDescent="0.25">
      <c r="V1718" s="1" t="str">
        <f>+IFERROR(IF(Tabla3[[#This Row],[Cilindros totales pendientes]]&gt;0,1,""),"")</f>
        <v/>
      </c>
    </row>
    <row r="1719" spans="22:22" x14ac:dyDescent="0.25">
      <c r="V1719" s="1" t="str">
        <f>+IFERROR(IF(Tabla3[[#This Row],[Cilindros totales pendientes]]&gt;0,1,""),"")</f>
        <v/>
      </c>
    </row>
    <row r="1720" spans="22:22" x14ac:dyDescent="0.25">
      <c r="V1720" s="1" t="str">
        <f>+IFERROR(IF(Tabla3[[#This Row],[Cilindros totales pendientes]]&gt;0,1,""),"")</f>
        <v/>
      </c>
    </row>
    <row r="1721" spans="22:22" x14ac:dyDescent="0.25">
      <c r="V1721" s="1" t="str">
        <f>+IFERROR(IF(Tabla3[[#This Row],[Cilindros totales pendientes]]&gt;0,1,""),"")</f>
        <v/>
      </c>
    </row>
    <row r="1722" spans="22:22" x14ac:dyDescent="0.25">
      <c r="V1722" s="1" t="str">
        <f>+IFERROR(IF(Tabla3[[#This Row],[Cilindros totales pendientes]]&gt;0,1,""),"")</f>
        <v/>
      </c>
    </row>
    <row r="1723" spans="22:22" x14ac:dyDescent="0.25">
      <c r="V1723" s="1" t="str">
        <f>+IFERROR(IF(Tabla3[[#This Row],[Cilindros totales pendientes]]&gt;0,1,""),"")</f>
        <v/>
      </c>
    </row>
    <row r="1724" spans="22:22" x14ac:dyDescent="0.25">
      <c r="V1724" s="1" t="str">
        <f>+IFERROR(IF(Tabla3[[#This Row],[Cilindros totales pendientes]]&gt;0,1,""),"")</f>
        <v/>
      </c>
    </row>
    <row r="1725" spans="22:22" x14ac:dyDescent="0.25">
      <c r="V1725" s="1" t="str">
        <f>+IFERROR(IF(Tabla3[[#This Row],[Cilindros totales pendientes]]&gt;0,1,""),"")</f>
        <v/>
      </c>
    </row>
    <row r="1726" spans="22:22" x14ac:dyDescent="0.25">
      <c r="V1726" s="1" t="str">
        <f>+IFERROR(IF(Tabla3[[#This Row],[Cilindros totales pendientes]]&gt;0,1,""),"")</f>
        <v/>
      </c>
    </row>
    <row r="1727" spans="22:22" x14ac:dyDescent="0.25">
      <c r="V1727" s="1" t="str">
        <f>+IFERROR(IF(Tabla3[[#This Row],[Cilindros totales pendientes]]&gt;0,1,""),"")</f>
        <v/>
      </c>
    </row>
    <row r="1728" spans="22:22" x14ac:dyDescent="0.25">
      <c r="V1728" s="1" t="str">
        <f>+IFERROR(IF(Tabla3[[#This Row],[Cilindros totales pendientes]]&gt;0,1,""),"")</f>
        <v/>
      </c>
    </row>
    <row r="1729" spans="22:22" x14ac:dyDescent="0.25">
      <c r="V1729" s="1" t="str">
        <f>+IFERROR(IF(Tabla3[[#This Row],[Cilindros totales pendientes]]&gt;0,1,""),"")</f>
        <v/>
      </c>
    </row>
    <row r="1730" spans="22:22" x14ac:dyDescent="0.25">
      <c r="V1730" s="1" t="str">
        <f>+IFERROR(IF(Tabla3[[#This Row],[Cilindros totales pendientes]]&gt;0,1,""),"")</f>
        <v/>
      </c>
    </row>
    <row r="1731" spans="22:22" x14ac:dyDescent="0.25">
      <c r="V1731" s="1" t="str">
        <f>+IFERROR(IF(Tabla3[[#This Row],[Cilindros totales pendientes]]&gt;0,1,""),"")</f>
        <v/>
      </c>
    </row>
    <row r="1732" spans="22:22" x14ac:dyDescent="0.25">
      <c r="V1732" s="1" t="str">
        <f>+IFERROR(IF(Tabla3[[#This Row],[Cilindros totales pendientes]]&gt;0,1,""),"")</f>
        <v/>
      </c>
    </row>
    <row r="1733" spans="22:22" x14ac:dyDescent="0.25">
      <c r="V1733" s="1" t="str">
        <f>+IFERROR(IF(Tabla3[[#This Row],[Cilindros totales pendientes]]&gt;0,1,""),"")</f>
        <v/>
      </c>
    </row>
    <row r="1734" spans="22:22" x14ac:dyDescent="0.25">
      <c r="V1734" s="1" t="str">
        <f>+IFERROR(IF(Tabla3[[#This Row],[Cilindros totales pendientes]]&gt;0,1,""),"")</f>
        <v/>
      </c>
    </row>
    <row r="1735" spans="22:22" x14ac:dyDescent="0.25">
      <c r="V1735" s="1" t="str">
        <f>+IFERROR(IF(Tabla3[[#This Row],[Cilindros totales pendientes]]&gt;0,1,""),"")</f>
        <v/>
      </c>
    </row>
    <row r="1736" spans="22:22" x14ac:dyDescent="0.25">
      <c r="V1736" s="1" t="str">
        <f>+IFERROR(IF(Tabla3[[#This Row],[Cilindros totales pendientes]]&gt;0,1,""),"")</f>
        <v/>
      </c>
    </row>
    <row r="1737" spans="22:22" x14ac:dyDescent="0.25">
      <c r="V1737" s="1" t="str">
        <f>+IFERROR(IF(Tabla3[[#This Row],[Cilindros totales pendientes]]&gt;0,1,""),"")</f>
        <v/>
      </c>
    </row>
    <row r="1738" spans="22:22" x14ac:dyDescent="0.25">
      <c r="V1738" s="1" t="str">
        <f>+IFERROR(IF(Tabla3[[#This Row],[Cilindros totales pendientes]]&gt;0,1,""),"")</f>
        <v/>
      </c>
    </row>
    <row r="1739" spans="22:22" x14ac:dyDescent="0.25">
      <c r="V1739" s="1" t="str">
        <f>+IFERROR(IF(Tabla3[[#This Row],[Cilindros totales pendientes]]&gt;0,1,""),"")</f>
        <v/>
      </c>
    </row>
    <row r="1740" spans="22:22" x14ac:dyDescent="0.25">
      <c r="V1740" s="1" t="str">
        <f>+IFERROR(IF(Tabla3[[#This Row],[Cilindros totales pendientes]]&gt;0,1,""),"")</f>
        <v/>
      </c>
    </row>
    <row r="1741" spans="22:22" x14ac:dyDescent="0.25">
      <c r="V1741" s="1" t="str">
        <f>+IFERROR(IF(Tabla3[[#This Row],[Cilindros totales pendientes]]&gt;0,1,""),"")</f>
        <v/>
      </c>
    </row>
    <row r="1742" spans="22:22" x14ac:dyDescent="0.25">
      <c r="V1742" s="1" t="str">
        <f>+IFERROR(IF(Tabla3[[#This Row],[Cilindros totales pendientes]]&gt;0,1,""),"")</f>
        <v/>
      </c>
    </row>
    <row r="1743" spans="22:22" x14ac:dyDescent="0.25">
      <c r="V1743" s="1" t="str">
        <f>+IFERROR(IF(Tabla3[[#This Row],[Cilindros totales pendientes]]&gt;0,1,""),"")</f>
        <v/>
      </c>
    </row>
    <row r="1744" spans="22:22" x14ac:dyDescent="0.25">
      <c r="V1744" s="1" t="str">
        <f>+IFERROR(IF(Tabla3[[#This Row],[Cilindros totales pendientes]]&gt;0,1,""),"")</f>
        <v/>
      </c>
    </row>
    <row r="1745" spans="22:22" x14ac:dyDescent="0.25">
      <c r="V1745" s="1" t="str">
        <f>+IFERROR(IF(Tabla3[[#This Row],[Cilindros totales pendientes]]&gt;0,1,""),"")</f>
        <v/>
      </c>
    </row>
    <row r="1746" spans="22:22" x14ac:dyDescent="0.25">
      <c r="V1746" s="1" t="str">
        <f>+IFERROR(IF(Tabla3[[#This Row],[Cilindros totales pendientes]]&gt;0,1,""),"")</f>
        <v/>
      </c>
    </row>
    <row r="1747" spans="22:22" x14ac:dyDescent="0.25">
      <c r="V1747" s="1" t="str">
        <f>+IFERROR(IF(Tabla3[[#This Row],[Cilindros totales pendientes]]&gt;0,1,""),"")</f>
        <v/>
      </c>
    </row>
    <row r="1748" spans="22:22" x14ac:dyDescent="0.25">
      <c r="V1748" s="1" t="str">
        <f>+IFERROR(IF(Tabla3[[#This Row],[Cilindros totales pendientes]]&gt;0,1,""),"")</f>
        <v/>
      </c>
    </row>
    <row r="1749" spans="22:22" x14ac:dyDescent="0.25">
      <c r="V1749" s="1" t="str">
        <f>+IFERROR(IF(Tabla3[[#This Row],[Cilindros totales pendientes]]&gt;0,1,""),"")</f>
        <v/>
      </c>
    </row>
    <row r="1750" spans="22:22" x14ac:dyDescent="0.25">
      <c r="V1750" s="1" t="str">
        <f>+IFERROR(IF(Tabla3[[#This Row],[Cilindros totales pendientes]]&gt;0,1,""),"")</f>
        <v/>
      </c>
    </row>
    <row r="1751" spans="22:22" x14ac:dyDescent="0.25">
      <c r="V1751" s="1" t="str">
        <f>+IFERROR(IF(Tabla3[[#This Row],[Cilindros totales pendientes]]&gt;0,1,""),"")</f>
        <v/>
      </c>
    </row>
    <row r="1752" spans="22:22" x14ac:dyDescent="0.25">
      <c r="V1752" s="1" t="str">
        <f>+IFERROR(IF(Tabla3[[#This Row],[Cilindros totales pendientes]]&gt;0,1,""),"")</f>
        <v/>
      </c>
    </row>
    <row r="1753" spans="22:22" x14ac:dyDescent="0.25">
      <c r="V1753" s="1" t="str">
        <f>+IFERROR(IF(Tabla3[[#This Row],[Cilindros totales pendientes]]&gt;0,1,""),"")</f>
        <v/>
      </c>
    </row>
    <row r="1754" spans="22:22" x14ac:dyDescent="0.25">
      <c r="V1754" s="1" t="str">
        <f>+IFERROR(IF(Tabla3[[#This Row],[Cilindros totales pendientes]]&gt;0,1,""),"")</f>
        <v/>
      </c>
    </row>
    <row r="1755" spans="22:22" x14ac:dyDescent="0.25">
      <c r="V1755" s="1" t="str">
        <f>+IFERROR(IF(Tabla3[[#This Row],[Cilindros totales pendientes]]&gt;0,1,""),"")</f>
        <v/>
      </c>
    </row>
    <row r="1756" spans="22:22" x14ac:dyDescent="0.25">
      <c r="V1756" s="1" t="str">
        <f>+IFERROR(IF(Tabla3[[#This Row],[Cilindros totales pendientes]]&gt;0,1,""),"")</f>
        <v/>
      </c>
    </row>
    <row r="1757" spans="22:22" x14ac:dyDescent="0.25">
      <c r="V1757" s="1" t="str">
        <f>+IFERROR(IF(Tabla3[[#This Row],[Cilindros totales pendientes]]&gt;0,1,""),"")</f>
        <v/>
      </c>
    </row>
    <row r="1758" spans="22:22" x14ac:dyDescent="0.25">
      <c r="V1758" s="1" t="str">
        <f>+IFERROR(IF(Tabla3[[#This Row],[Cilindros totales pendientes]]&gt;0,1,""),"")</f>
        <v/>
      </c>
    </row>
    <row r="1759" spans="22:22" x14ac:dyDescent="0.25">
      <c r="V1759" s="1" t="str">
        <f>+IFERROR(IF(Tabla3[[#This Row],[Cilindros totales pendientes]]&gt;0,1,""),"")</f>
        <v/>
      </c>
    </row>
    <row r="1760" spans="22:22" x14ac:dyDescent="0.25">
      <c r="V1760" s="1" t="str">
        <f>+IFERROR(IF(Tabla3[[#This Row],[Cilindros totales pendientes]]&gt;0,1,""),"")</f>
        <v/>
      </c>
    </row>
    <row r="1761" spans="22:22" x14ac:dyDescent="0.25">
      <c r="V1761" s="1" t="str">
        <f>+IFERROR(IF(Tabla3[[#This Row],[Cilindros totales pendientes]]&gt;0,1,""),"")</f>
        <v/>
      </c>
    </row>
    <row r="1762" spans="22:22" x14ac:dyDescent="0.25">
      <c r="V1762" s="1" t="str">
        <f>+IFERROR(IF(Tabla3[[#This Row],[Cilindros totales pendientes]]&gt;0,1,""),"")</f>
        <v/>
      </c>
    </row>
    <row r="1763" spans="22:22" x14ac:dyDescent="0.25">
      <c r="V1763" s="1" t="str">
        <f>+IFERROR(IF(Tabla3[[#This Row],[Cilindros totales pendientes]]&gt;0,1,""),"")</f>
        <v/>
      </c>
    </row>
    <row r="1764" spans="22:22" x14ac:dyDescent="0.25">
      <c r="V1764" s="1" t="str">
        <f>+IFERROR(IF(Tabla3[[#This Row],[Cilindros totales pendientes]]&gt;0,1,""),"")</f>
        <v/>
      </c>
    </row>
    <row r="1765" spans="22:22" x14ac:dyDescent="0.25">
      <c r="V1765" s="1" t="str">
        <f>+IFERROR(IF(Tabla3[[#This Row],[Cilindros totales pendientes]]&gt;0,1,""),"")</f>
        <v/>
      </c>
    </row>
    <row r="1766" spans="22:22" x14ac:dyDescent="0.25">
      <c r="V1766" s="1" t="str">
        <f>+IFERROR(IF(Tabla3[[#This Row],[Cilindros totales pendientes]]&gt;0,1,""),"")</f>
        <v/>
      </c>
    </row>
    <row r="1767" spans="22:22" x14ac:dyDescent="0.25">
      <c r="V1767" s="1" t="str">
        <f>+IFERROR(IF(Tabla3[[#This Row],[Cilindros totales pendientes]]&gt;0,1,""),"")</f>
        <v/>
      </c>
    </row>
    <row r="1768" spans="22:22" x14ac:dyDescent="0.25">
      <c r="V1768" s="1" t="str">
        <f>+IFERROR(IF(Tabla3[[#This Row],[Cilindros totales pendientes]]&gt;0,1,""),"")</f>
        <v/>
      </c>
    </row>
    <row r="1769" spans="22:22" x14ac:dyDescent="0.25">
      <c r="V1769" s="1" t="str">
        <f>+IFERROR(IF(Tabla3[[#This Row],[Cilindros totales pendientes]]&gt;0,1,""),"")</f>
        <v/>
      </c>
    </row>
    <row r="1770" spans="22:22" x14ac:dyDescent="0.25">
      <c r="V1770" s="1" t="str">
        <f>+IFERROR(IF(Tabla3[[#This Row],[Cilindros totales pendientes]]&gt;0,1,""),"")</f>
        <v/>
      </c>
    </row>
    <row r="1771" spans="22:22" x14ac:dyDescent="0.25">
      <c r="V1771" s="1" t="str">
        <f>+IFERROR(IF(Tabla3[[#This Row],[Cilindros totales pendientes]]&gt;0,1,""),"")</f>
        <v/>
      </c>
    </row>
    <row r="1772" spans="22:22" x14ac:dyDescent="0.25">
      <c r="V1772" s="1" t="str">
        <f>+IFERROR(IF(Tabla3[[#This Row],[Cilindros totales pendientes]]&gt;0,1,""),"")</f>
        <v/>
      </c>
    </row>
    <row r="1773" spans="22:22" x14ac:dyDescent="0.25">
      <c r="V1773" s="1" t="str">
        <f>+IFERROR(IF(Tabla3[[#This Row],[Cilindros totales pendientes]]&gt;0,1,""),"")</f>
        <v/>
      </c>
    </row>
    <row r="1774" spans="22:22" x14ac:dyDescent="0.25">
      <c r="V1774" s="1" t="str">
        <f>+IFERROR(IF(Tabla3[[#This Row],[Cilindros totales pendientes]]&gt;0,1,""),"")</f>
        <v/>
      </c>
    </row>
    <row r="1775" spans="22:22" x14ac:dyDescent="0.25">
      <c r="V1775" s="1" t="str">
        <f>+IFERROR(IF(Tabla3[[#This Row],[Cilindros totales pendientes]]&gt;0,1,""),"")</f>
        <v/>
      </c>
    </row>
    <row r="1776" spans="22:22" x14ac:dyDescent="0.25">
      <c r="V1776" s="1" t="str">
        <f>+IFERROR(IF(Tabla3[[#This Row],[Cilindros totales pendientes]]&gt;0,1,""),"")</f>
        <v/>
      </c>
    </row>
    <row r="1777" spans="22:22" x14ac:dyDescent="0.25">
      <c r="V1777" s="1" t="str">
        <f>+IFERROR(IF(Tabla3[[#This Row],[Cilindros totales pendientes]]&gt;0,1,""),"")</f>
        <v/>
      </c>
    </row>
    <row r="1778" spans="22:22" x14ac:dyDescent="0.25">
      <c r="V1778" s="1" t="str">
        <f>+IFERROR(IF(Tabla3[[#This Row],[Cilindros totales pendientes]]&gt;0,1,""),"")</f>
        <v/>
      </c>
    </row>
    <row r="1779" spans="22:22" x14ac:dyDescent="0.25">
      <c r="V1779" s="1" t="str">
        <f>+IFERROR(IF(Tabla3[[#This Row],[Cilindros totales pendientes]]&gt;0,1,""),"")</f>
        <v/>
      </c>
    </row>
    <row r="1780" spans="22:22" x14ac:dyDescent="0.25">
      <c r="V1780" s="1" t="str">
        <f>+IFERROR(IF(Tabla3[[#This Row],[Cilindros totales pendientes]]&gt;0,1,""),"")</f>
        <v/>
      </c>
    </row>
    <row r="1781" spans="22:22" x14ac:dyDescent="0.25">
      <c r="V1781" s="1" t="str">
        <f>+IFERROR(IF(Tabla3[[#This Row],[Cilindros totales pendientes]]&gt;0,1,""),"")</f>
        <v/>
      </c>
    </row>
    <row r="1782" spans="22:22" x14ac:dyDescent="0.25">
      <c r="V1782" s="1" t="str">
        <f>+IFERROR(IF(Tabla3[[#This Row],[Cilindros totales pendientes]]&gt;0,1,""),"")</f>
        <v/>
      </c>
    </row>
    <row r="1783" spans="22:22" x14ac:dyDescent="0.25">
      <c r="V1783" s="1" t="str">
        <f>+IFERROR(IF(Tabla3[[#This Row],[Cilindros totales pendientes]]&gt;0,1,""),"")</f>
        <v/>
      </c>
    </row>
    <row r="1784" spans="22:22" x14ac:dyDescent="0.25">
      <c r="V1784" s="1" t="str">
        <f>+IFERROR(IF(Tabla3[[#This Row],[Cilindros totales pendientes]]&gt;0,1,""),"")</f>
        <v/>
      </c>
    </row>
    <row r="1785" spans="22:22" x14ac:dyDescent="0.25">
      <c r="V1785" s="1" t="str">
        <f>+IFERROR(IF(Tabla3[[#This Row],[Cilindros totales pendientes]]&gt;0,1,""),"")</f>
        <v/>
      </c>
    </row>
    <row r="1786" spans="22:22" x14ac:dyDescent="0.25">
      <c r="V1786" s="1" t="str">
        <f>+IFERROR(IF(Tabla3[[#This Row],[Cilindros totales pendientes]]&gt;0,1,""),"")</f>
        <v/>
      </c>
    </row>
    <row r="1787" spans="22:22" x14ac:dyDescent="0.25">
      <c r="V1787" s="1" t="str">
        <f>+IFERROR(IF(Tabla3[[#This Row],[Cilindros totales pendientes]]&gt;0,1,""),"")</f>
        <v/>
      </c>
    </row>
    <row r="1788" spans="22:22" x14ac:dyDescent="0.25">
      <c r="V1788" s="1" t="str">
        <f>+IFERROR(IF(Tabla3[[#This Row],[Cilindros totales pendientes]]&gt;0,1,""),"")</f>
        <v/>
      </c>
    </row>
    <row r="1789" spans="22:22" x14ac:dyDescent="0.25">
      <c r="V1789" s="1" t="str">
        <f>+IFERROR(IF(Tabla3[[#This Row],[Cilindros totales pendientes]]&gt;0,1,""),"")</f>
        <v/>
      </c>
    </row>
    <row r="1790" spans="22:22" x14ac:dyDescent="0.25">
      <c r="V1790" s="1" t="str">
        <f>+IFERROR(IF(Tabla3[[#This Row],[Cilindros totales pendientes]]&gt;0,1,""),"")</f>
        <v/>
      </c>
    </row>
    <row r="1791" spans="22:22" x14ac:dyDescent="0.25">
      <c r="V1791" s="1" t="str">
        <f>+IFERROR(IF(Tabla3[[#This Row],[Cilindros totales pendientes]]&gt;0,1,""),"")</f>
        <v/>
      </c>
    </row>
    <row r="1792" spans="22:22" x14ac:dyDescent="0.25">
      <c r="V1792" s="1" t="str">
        <f>+IFERROR(IF(Tabla3[[#This Row],[Cilindros totales pendientes]]&gt;0,1,""),"")</f>
        <v/>
      </c>
    </row>
    <row r="1793" spans="22:22" x14ac:dyDescent="0.25">
      <c r="V1793" s="1" t="str">
        <f>+IFERROR(IF(Tabla3[[#This Row],[Cilindros totales pendientes]]&gt;0,1,""),"")</f>
        <v/>
      </c>
    </row>
    <row r="1794" spans="22:22" x14ac:dyDescent="0.25">
      <c r="V1794" s="1" t="str">
        <f>+IFERROR(IF(Tabla3[[#This Row],[Cilindros totales pendientes]]&gt;0,1,""),"")</f>
        <v/>
      </c>
    </row>
    <row r="1795" spans="22:22" x14ac:dyDescent="0.25">
      <c r="V1795" s="1" t="str">
        <f>+IFERROR(IF(Tabla3[[#This Row],[Cilindros totales pendientes]]&gt;0,1,""),"")</f>
        <v/>
      </c>
    </row>
    <row r="1796" spans="22:22" x14ac:dyDescent="0.25">
      <c r="V1796" s="1" t="str">
        <f>+IFERROR(IF(Tabla3[[#This Row],[Cilindros totales pendientes]]&gt;0,1,""),"")</f>
        <v/>
      </c>
    </row>
    <row r="1797" spans="22:22" x14ac:dyDescent="0.25">
      <c r="V1797" s="1" t="str">
        <f>+IFERROR(IF(Tabla3[[#This Row],[Cilindros totales pendientes]]&gt;0,1,""),"")</f>
        <v/>
      </c>
    </row>
    <row r="1798" spans="22:22" x14ac:dyDescent="0.25">
      <c r="V1798" s="1" t="str">
        <f>+IFERROR(IF(Tabla3[[#This Row],[Cilindros totales pendientes]]&gt;0,1,""),"")</f>
        <v/>
      </c>
    </row>
    <row r="1799" spans="22:22" x14ac:dyDescent="0.25">
      <c r="V1799" s="1" t="str">
        <f>+IFERROR(IF(Tabla3[[#This Row],[Cilindros totales pendientes]]&gt;0,1,""),"")</f>
        <v/>
      </c>
    </row>
    <row r="1800" spans="22:22" x14ac:dyDescent="0.25">
      <c r="V1800" s="1" t="str">
        <f>+IFERROR(IF(Tabla3[[#This Row],[Cilindros totales pendientes]]&gt;0,1,""),"")</f>
        <v/>
      </c>
    </row>
    <row r="1801" spans="22:22" x14ac:dyDescent="0.25">
      <c r="V1801" s="1" t="str">
        <f>+IFERROR(IF(Tabla3[[#This Row],[Cilindros totales pendientes]]&gt;0,1,""),"")</f>
        <v/>
      </c>
    </row>
    <row r="1802" spans="22:22" x14ac:dyDescent="0.25">
      <c r="V1802" s="1" t="str">
        <f>+IFERROR(IF(Tabla3[[#This Row],[Cilindros totales pendientes]]&gt;0,1,""),"")</f>
        <v/>
      </c>
    </row>
    <row r="1803" spans="22:22" x14ac:dyDescent="0.25">
      <c r="V1803" s="1" t="str">
        <f>+IFERROR(IF(Tabla3[[#This Row],[Cilindros totales pendientes]]&gt;0,1,""),"")</f>
        <v/>
      </c>
    </row>
    <row r="1804" spans="22:22" x14ac:dyDescent="0.25">
      <c r="V1804" s="1" t="str">
        <f>+IFERROR(IF(Tabla3[[#This Row],[Cilindros totales pendientes]]&gt;0,1,""),"")</f>
        <v/>
      </c>
    </row>
    <row r="1805" spans="22:22" x14ac:dyDescent="0.25">
      <c r="V1805" s="1" t="str">
        <f>+IFERROR(IF(Tabla3[[#This Row],[Cilindros totales pendientes]]&gt;0,1,""),"")</f>
        <v/>
      </c>
    </row>
    <row r="1806" spans="22:22" x14ac:dyDescent="0.25">
      <c r="V1806" s="1" t="str">
        <f>+IFERROR(IF(Tabla3[[#This Row],[Cilindros totales pendientes]]&gt;0,1,""),"")</f>
        <v/>
      </c>
    </row>
    <row r="1807" spans="22:22" x14ac:dyDescent="0.25">
      <c r="V1807" s="1" t="str">
        <f>+IFERROR(IF(Tabla3[[#This Row],[Cilindros totales pendientes]]&gt;0,1,""),"")</f>
        <v/>
      </c>
    </row>
    <row r="1808" spans="22:22" x14ac:dyDescent="0.25">
      <c r="V1808" s="1" t="str">
        <f>+IFERROR(IF(Tabla3[[#This Row],[Cilindros totales pendientes]]&gt;0,1,""),"")</f>
        <v/>
      </c>
    </row>
    <row r="1809" spans="22:22" x14ac:dyDescent="0.25">
      <c r="V1809" s="1" t="str">
        <f>+IFERROR(IF(Tabla3[[#This Row],[Cilindros totales pendientes]]&gt;0,1,""),"")</f>
        <v/>
      </c>
    </row>
    <row r="1810" spans="22:22" x14ac:dyDescent="0.25">
      <c r="V1810" s="1" t="str">
        <f>+IFERROR(IF(Tabla3[[#This Row],[Cilindros totales pendientes]]&gt;0,1,""),"")</f>
        <v/>
      </c>
    </row>
    <row r="1811" spans="22:22" x14ac:dyDescent="0.25">
      <c r="V1811" s="1" t="str">
        <f>+IFERROR(IF(Tabla3[[#This Row],[Cilindros totales pendientes]]&gt;0,1,""),"")</f>
        <v/>
      </c>
    </row>
    <row r="1812" spans="22:22" x14ac:dyDescent="0.25">
      <c r="V1812" s="1" t="str">
        <f>+IFERROR(IF(Tabla3[[#This Row],[Cilindros totales pendientes]]&gt;0,1,""),"")</f>
        <v/>
      </c>
    </row>
    <row r="1813" spans="22:22" x14ac:dyDescent="0.25">
      <c r="V1813" s="1" t="str">
        <f>+IFERROR(IF(Tabla3[[#This Row],[Cilindros totales pendientes]]&gt;0,1,""),"")</f>
        <v/>
      </c>
    </row>
    <row r="1814" spans="22:22" x14ac:dyDescent="0.25">
      <c r="V1814" s="1" t="str">
        <f>+IFERROR(IF(Tabla3[[#This Row],[Cilindros totales pendientes]]&gt;0,1,""),"")</f>
        <v/>
      </c>
    </row>
    <row r="1815" spans="22:22" x14ac:dyDescent="0.25">
      <c r="V1815" s="1" t="str">
        <f>+IFERROR(IF(Tabla3[[#This Row],[Cilindros totales pendientes]]&gt;0,1,""),"")</f>
        <v/>
      </c>
    </row>
    <row r="1816" spans="22:22" x14ac:dyDescent="0.25">
      <c r="V1816" s="1" t="str">
        <f>+IFERROR(IF(Tabla3[[#This Row],[Cilindros totales pendientes]]&gt;0,1,""),"")</f>
        <v/>
      </c>
    </row>
    <row r="1817" spans="22:22" x14ac:dyDescent="0.25">
      <c r="V1817" s="1" t="str">
        <f>+IFERROR(IF(Tabla3[[#This Row],[Cilindros totales pendientes]]&gt;0,1,""),"")</f>
        <v/>
      </c>
    </row>
    <row r="1818" spans="22:22" x14ac:dyDescent="0.25">
      <c r="V1818" s="1" t="str">
        <f>+IFERROR(IF(Tabla3[[#This Row],[Cilindros totales pendientes]]&gt;0,1,""),"")</f>
        <v/>
      </c>
    </row>
    <row r="1819" spans="22:22" x14ac:dyDescent="0.25">
      <c r="V1819" s="1" t="str">
        <f>+IFERROR(IF(Tabla3[[#This Row],[Cilindros totales pendientes]]&gt;0,1,""),"")</f>
        <v/>
      </c>
    </row>
    <row r="1820" spans="22:22" x14ac:dyDescent="0.25">
      <c r="V1820" s="1" t="str">
        <f>+IFERROR(IF(Tabla3[[#This Row],[Cilindros totales pendientes]]&gt;0,1,""),"")</f>
        <v/>
      </c>
    </row>
    <row r="1821" spans="22:22" x14ac:dyDescent="0.25">
      <c r="V1821" s="1" t="str">
        <f>+IFERROR(IF(Tabla3[[#This Row],[Cilindros totales pendientes]]&gt;0,1,""),"")</f>
        <v/>
      </c>
    </row>
    <row r="1822" spans="22:22" x14ac:dyDescent="0.25">
      <c r="V1822" s="1" t="str">
        <f>+IFERROR(IF(Tabla3[[#This Row],[Cilindros totales pendientes]]&gt;0,1,""),"")</f>
        <v/>
      </c>
    </row>
    <row r="1823" spans="22:22" x14ac:dyDescent="0.25">
      <c r="V1823" s="1" t="str">
        <f>+IFERROR(IF(Tabla3[[#This Row],[Cilindros totales pendientes]]&gt;0,1,""),"")</f>
        <v/>
      </c>
    </row>
    <row r="1824" spans="22:22" x14ac:dyDescent="0.25">
      <c r="V1824" s="1" t="str">
        <f>+IFERROR(IF(Tabla3[[#This Row],[Cilindros totales pendientes]]&gt;0,1,""),"")</f>
        <v/>
      </c>
    </row>
    <row r="1825" spans="22:22" x14ac:dyDescent="0.25">
      <c r="V1825" s="1" t="str">
        <f>+IFERROR(IF(Tabla3[[#This Row],[Cilindros totales pendientes]]&gt;0,1,""),"")</f>
        <v/>
      </c>
    </row>
    <row r="1826" spans="22:22" x14ac:dyDescent="0.25">
      <c r="V1826" s="1" t="str">
        <f>+IFERROR(IF(Tabla3[[#This Row],[Cilindros totales pendientes]]&gt;0,1,""),"")</f>
        <v/>
      </c>
    </row>
    <row r="1827" spans="22:22" x14ac:dyDescent="0.25">
      <c r="V1827" s="1" t="str">
        <f>+IFERROR(IF(Tabla3[[#This Row],[Cilindros totales pendientes]]&gt;0,1,""),"")</f>
        <v/>
      </c>
    </row>
    <row r="1828" spans="22:22" x14ac:dyDescent="0.25">
      <c r="V1828" s="1" t="str">
        <f>+IFERROR(IF(Tabla3[[#This Row],[Cilindros totales pendientes]]&gt;0,1,""),"")</f>
        <v/>
      </c>
    </row>
    <row r="1829" spans="22:22" x14ac:dyDescent="0.25">
      <c r="V1829" s="1" t="str">
        <f>+IFERROR(IF(Tabla3[[#This Row],[Cilindros totales pendientes]]&gt;0,1,""),"")</f>
        <v/>
      </c>
    </row>
    <row r="1830" spans="22:22" x14ac:dyDescent="0.25">
      <c r="V1830" s="1" t="str">
        <f>+IFERROR(IF(Tabla3[[#This Row],[Cilindros totales pendientes]]&gt;0,1,""),"")</f>
        <v/>
      </c>
    </row>
    <row r="1831" spans="22:22" x14ac:dyDescent="0.25">
      <c r="V1831" s="1" t="str">
        <f>+IFERROR(IF(Tabla3[[#This Row],[Cilindros totales pendientes]]&gt;0,1,""),"")</f>
        <v/>
      </c>
    </row>
    <row r="1832" spans="22:22" x14ac:dyDescent="0.25">
      <c r="V1832" s="1" t="str">
        <f>+IFERROR(IF(Tabla3[[#This Row],[Cilindros totales pendientes]]&gt;0,1,""),"")</f>
        <v/>
      </c>
    </row>
    <row r="1833" spans="22:22" x14ac:dyDescent="0.25">
      <c r="V1833" s="1" t="str">
        <f>+IFERROR(IF(Tabla3[[#This Row],[Cilindros totales pendientes]]&gt;0,1,""),"")</f>
        <v/>
      </c>
    </row>
    <row r="1834" spans="22:22" x14ac:dyDescent="0.25">
      <c r="V1834" s="1" t="str">
        <f>+IFERROR(IF(Tabla3[[#This Row],[Cilindros totales pendientes]]&gt;0,1,""),"")</f>
        <v/>
      </c>
    </row>
    <row r="1835" spans="22:22" x14ac:dyDescent="0.25">
      <c r="V1835" s="1" t="str">
        <f>+IFERROR(IF(Tabla3[[#This Row],[Cilindros totales pendientes]]&gt;0,1,""),"")</f>
        <v/>
      </c>
    </row>
    <row r="1836" spans="22:22" x14ac:dyDescent="0.25">
      <c r="V1836" s="1" t="str">
        <f>+IFERROR(IF(Tabla3[[#This Row],[Cilindros totales pendientes]]&gt;0,1,""),"")</f>
        <v/>
      </c>
    </row>
    <row r="1837" spans="22:22" x14ac:dyDescent="0.25">
      <c r="V1837" s="1" t="str">
        <f>+IFERROR(IF(Tabla3[[#This Row],[Cilindros totales pendientes]]&gt;0,1,""),"")</f>
        <v/>
      </c>
    </row>
    <row r="1838" spans="22:22" x14ac:dyDescent="0.25">
      <c r="V1838" s="1" t="str">
        <f>+IFERROR(IF(Tabla3[[#This Row],[Cilindros totales pendientes]]&gt;0,1,""),"")</f>
        <v/>
      </c>
    </row>
    <row r="1839" spans="22:22" x14ac:dyDescent="0.25">
      <c r="V1839" s="1" t="str">
        <f>+IFERROR(IF(Tabla3[[#This Row],[Cilindros totales pendientes]]&gt;0,1,""),"")</f>
        <v/>
      </c>
    </row>
    <row r="1840" spans="22:22" x14ac:dyDescent="0.25">
      <c r="V1840" s="1" t="str">
        <f>+IFERROR(IF(Tabla3[[#This Row],[Cilindros totales pendientes]]&gt;0,1,""),"")</f>
        <v/>
      </c>
    </row>
    <row r="1841" spans="22:22" x14ac:dyDescent="0.25">
      <c r="V1841" s="1" t="str">
        <f>+IFERROR(IF(Tabla3[[#This Row],[Cilindros totales pendientes]]&gt;0,1,""),"")</f>
        <v/>
      </c>
    </row>
    <row r="1842" spans="22:22" x14ac:dyDescent="0.25">
      <c r="V1842" s="1" t="str">
        <f>+IFERROR(IF(Tabla3[[#This Row],[Cilindros totales pendientes]]&gt;0,1,""),"")</f>
        <v/>
      </c>
    </row>
    <row r="1843" spans="22:22" x14ac:dyDescent="0.25">
      <c r="V1843" s="1" t="str">
        <f>+IFERROR(IF(Tabla3[[#This Row],[Cilindros totales pendientes]]&gt;0,1,""),"")</f>
        <v/>
      </c>
    </row>
    <row r="1844" spans="22:22" x14ac:dyDescent="0.25">
      <c r="V1844" s="1" t="str">
        <f>+IFERROR(IF(Tabla3[[#This Row],[Cilindros totales pendientes]]&gt;0,1,""),"")</f>
        <v/>
      </c>
    </row>
    <row r="1845" spans="22:22" x14ac:dyDescent="0.25">
      <c r="V1845" s="1" t="str">
        <f>+IFERROR(IF(Tabla3[[#This Row],[Cilindros totales pendientes]]&gt;0,1,""),"")</f>
        <v/>
      </c>
    </row>
    <row r="1846" spans="22:22" x14ac:dyDescent="0.25">
      <c r="V1846" s="1" t="str">
        <f>+IFERROR(IF(Tabla3[[#This Row],[Cilindros totales pendientes]]&gt;0,1,""),"")</f>
        <v/>
      </c>
    </row>
    <row r="1847" spans="22:22" x14ac:dyDescent="0.25">
      <c r="V1847" s="1" t="str">
        <f>+IFERROR(IF(Tabla3[[#This Row],[Cilindros totales pendientes]]&gt;0,1,""),"")</f>
        <v/>
      </c>
    </row>
    <row r="1848" spans="22:22" x14ac:dyDescent="0.25">
      <c r="V1848" s="1" t="str">
        <f>+IFERROR(IF(Tabla3[[#This Row],[Cilindros totales pendientes]]&gt;0,1,""),"")</f>
        <v/>
      </c>
    </row>
    <row r="1849" spans="22:22" x14ac:dyDescent="0.25">
      <c r="V1849" s="1" t="str">
        <f>+IFERROR(IF(Tabla3[[#This Row],[Cilindros totales pendientes]]&gt;0,1,""),"")</f>
        <v/>
      </c>
    </row>
    <row r="1850" spans="22:22" x14ac:dyDescent="0.25">
      <c r="V1850" s="1" t="str">
        <f>+IFERROR(IF(Tabla3[[#This Row],[Cilindros totales pendientes]]&gt;0,1,""),"")</f>
        <v/>
      </c>
    </row>
    <row r="1851" spans="22:22" x14ac:dyDescent="0.25">
      <c r="V1851" s="1" t="str">
        <f>+IFERROR(IF(Tabla3[[#This Row],[Cilindros totales pendientes]]&gt;0,1,""),"")</f>
        <v/>
      </c>
    </row>
    <row r="1852" spans="22:22" x14ac:dyDescent="0.25">
      <c r="V1852" s="1" t="str">
        <f>+IFERROR(IF(Tabla3[[#This Row],[Cilindros totales pendientes]]&gt;0,1,""),"")</f>
        <v/>
      </c>
    </row>
    <row r="1853" spans="22:22" x14ac:dyDescent="0.25">
      <c r="V1853" s="1" t="str">
        <f>+IFERROR(IF(Tabla3[[#This Row],[Cilindros totales pendientes]]&gt;0,1,""),"")</f>
        <v/>
      </c>
    </row>
    <row r="1854" spans="22:22" x14ac:dyDescent="0.25">
      <c r="V1854" s="1" t="str">
        <f>+IFERROR(IF(Tabla3[[#This Row],[Cilindros totales pendientes]]&gt;0,1,""),"")</f>
        <v/>
      </c>
    </row>
    <row r="1855" spans="22:22" x14ac:dyDescent="0.25">
      <c r="V1855" s="1" t="str">
        <f>+IFERROR(IF(Tabla3[[#This Row],[Cilindros totales pendientes]]&gt;0,1,""),"")</f>
        <v/>
      </c>
    </row>
    <row r="1856" spans="22:22" x14ac:dyDescent="0.25">
      <c r="V1856" s="1" t="str">
        <f>+IFERROR(IF(Tabla3[[#This Row],[Cilindros totales pendientes]]&gt;0,1,""),"")</f>
        <v/>
      </c>
    </row>
    <row r="1857" spans="22:22" x14ac:dyDescent="0.25">
      <c r="V1857" s="1" t="str">
        <f>+IFERROR(IF(Tabla3[[#This Row],[Cilindros totales pendientes]]&gt;0,1,""),"")</f>
        <v/>
      </c>
    </row>
    <row r="1858" spans="22:22" x14ac:dyDescent="0.25">
      <c r="V1858" s="1" t="str">
        <f>+IFERROR(IF(Tabla3[[#This Row],[Cilindros totales pendientes]]&gt;0,1,""),"")</f>
        <v/>
      </c>
    </row>
    <row r="1859" spans="22:22" x14ac:dyDescent="0.25">
      <c r="V1859" s="1" t="str">
        <f>+IFERROR(IF(Tabla3[[#This Row],[Cilindros totales pendientes]]&gt;0,1,""),"")</f>
        <v/>
      </c>
    </row>
    <row r="1860" spans="22:22" x14ac:dyDescent="0.25">
      <c r="V1860" s="1" t="str">
        <f>+IFERROR(IF(Tabla3[[#This Row],[Cilindros totales pendientes]]&gt;0,1,""),"")</f>
        <v/>
      </c>
    </row>
    <row r="1861" spans="22:22" x14ac:dyDescent="0.25">
      <c r="V1861" s="1" t="str">
        <f>+IFERROR(IF(Tabla3[[#This Row],[Cilindros totales pendientes]]&gt;0,1,""),"")</f>
        <v/>
      </c>
    </row>
    <row r="1862" spans="22:22" x14ac:dyDescent="0.25">
      <c r="V1862" s="1" t="str">
        <f>+IFERROR(IF(Tabla3[[#This Row],[Cilindros totales pendientes]]&gt;0,1,""),"")</f>
        <v/>
      </c>
    </row>
    <row r="1863" spans="22:22" x14ac:dyDescent="0.25">
      <c r="V1863" s="1" t="str">
        <f>+IFERROR(IF(Tabla3[[#This Row],[Cilindros totales pendientes]]&gt;0,1,""),"")</f>
        <v/>
      </c>
    </row>
    <row r="1864" spans="22:22" x14ac:dyDescent="0.25">
      <c r="V1864" s="1" t="str">
        <f>+IFERROR(IF(Tabla3[[#This Row],[Cilindros totales pendientes]]&gt;0,1,""),"")</f>
        <v/>
      </c>
    </row>
    <row r="1865" spans="22:22" x14ac:dyDescent="0.25">
      <c r="V1865" s="1" t="str">
        <f>+IFERROR(IF(Tabla3[[#This Row],[Cilindros totales pendientes]]&gt;0,1,""),"")</f>
        <v/>
      </c>
    </row>
    <row r="1866" spans="22:22" x14ac:dyDescent="0.25">
      <c r="V1866" s="1" t="str">
        <f>+IFERROR(IF(Tabla3[[#This Row],[Cilindros totales pendientes]]&gt;0,1,""),"")</f>
        <v/>
      </c>
    </row>
    <row r="1867" spans="22:22" x14ac:dyDescent="0.25">
      <c r="V1867" s="1" t="str">
        <f>+IFERROR(IF(Tabla3[[#This Row],[Cilindros totales pendientes]]&gt;0,1,""),"")</f>
        <v/>
      </c>
    </row>
    <row r="1868" spans="22:22" x14ac:dyDescent="0.25">
      <c r="V1868" s="1" t="str">
        <f>+IFERROR(IF(Tabla3[[#This Row],[Cilindros totales pendientes]]&gt;0,1,""),"")</f>
        <v/>
      </c>
    </row>
    <row r="1869" spans="22:22" x14ac:dyDescent="0.25">
      <c r="V1869" s="1" t="str">
        <f>+IFERROR(IF(Tabla3[[#This Row],[Cilindros totales pendientes]]&gt;0,1,""),"")</f>
        <v/>
      </c>
    </row>
    <row r="1870" spans="22:22" x14ac:dyDescent="0.25">
      <c r="V1870" s="1" t="str">
        <f>+IFERROR(IF(Tabla3[[#This Row],[Cilindros totales pendientes]]&gt;0,1,""),"")</f>
        <v/>
      </c>
    </row>
    <row r="1871" spans="22:22" x14ac:dyDescent="0.25">
      <c r="V1871" s="1" t="str">
        <f>+IFERROR(IF(Tabla3[[#This Row],[Cilindros totales pendientes]]&gt;0,1,""),"")</f>
        <v/>
      </c>
    </row>
    <row r="1872" spans="22:22" x14ac:dyDescent="0.25">
      <c r="V1872" s="1" t="str">
        <f>+IFERROR(IF(Tabla3[[#This Row],[Cilindros totales pendientes]]&gt;0,1,""),"")</f>
        <v/>
      </c>
    </row>
    <row r="1873" spans="22:22" x14ac:dyDescent="0.25">
      <c r="V1873" s="1" t="str">
        <f>+IFERROR(IF(Tabla3[[#This Row],[Cilindros totales pendientes]]&gt;0,1,""),"")</f>
        <v/>
      </c>
    </row>
    <row r="1874" spans="22:22" x14ac:dyDescent="0.25">
      <c r="V1874" s="1" t="str">
        <f>+IFERROR(IF(Tabla3[[#This Row],[Cilindros totales pendientes]]&gt;0,1,""),"")</f>
        <v/>
      </c>
    </row>
    <row r="1875" spans="22:22" x14ac:dyDescent="0.25">
      <c r="V1875" s="1" t="str">
        <f>+IFERROR(IF(Tabla3[[#This Row],[Cilindros totales pendientes]]&gt;0,1,""),"")</f>
        <v/>
      </c>
    </row>
    <row r="1876" spans="22:22" x14ac:dyDescent="0.25">
      <c r="V1876" s="1" t="str">
        <f>+IFERROR(IF(Tabla3[[#This Row],[Cilindros totales pendientes]]&gt;0,1,""),"")</f>
        <v/>
      </c>
    </row>
    <row r="1877" spans="22:22" x14ac:dyDescent="0.25">
      <c r="V1877" s="1" t="str">
        <f>+IFERROR(IF(Tabla3[[#This Row],[Cilindros totales pendientes]]&gt;0,1,""),"")</f>
        <v/>
      </c>
    </row>
    <row r="1878" spans="22:22" x14ac:dyDescent="0.25">
      <c r="V1878" s="1" t="str">
        <f>+IFERROR(IF(Tabla3[[#This Row],[Cilindros totales pendientes]]&gt;0,1,""),"")</f>
        <v/>
      </c>
    </row>
    <row r="1879" spans="22:22" x14ac:dyDescent="0.25">
      <c r="V1879" s="1" t="str">
        <f>+IFERROR(IF(Tabla3[[#This Row],[Cilindros totales pendientes]]&gt;0,1,""),"")</f>
        <v/>
      </c>
    </row>
    <row r="1880" spans="22:22" x14ac:dyDescent="0.25">
      <c r="V1880" s="1" t="str">
        <f>+IFERROR(IF(Tabla3[[#This Row],[Cilindros totales pendientes]]&gt;0,1,""),"")</f>
        <v/>
      </c>
    </row>
    <row r="1881" spans="22:22" x14ac:dyDescent="0.25">
      <c r="V1881" s="1" t="str">
        <f>+IFERROR(IF(Tabla3[[#This Row],[Cilindros totales pendientes]]&gt;0,1,""),"")</f>
        <v/>
      </c>
    </row>
    <row r="1882" spans="22:22" x14ac:dyDescent="0.25">
      <c r="V1882" s="1" t="str">
        <f>+IFERROR(IF(Tabla3[[#This Row],[Cilindros totales pendientes]]&gt;0,1,""),"")</f>
        <v/>
      </c>
    </row>
    <row r="1883" spans="22:22" x14ac:dyDescent="0.25">
      <c r="V1883" s="1" t="str">
        <f>+IFERROR(IF(Tabla3[[#This Row],[Cilindros totales pendientes]]&gt;0,1,""),"")</f>
        <v/>
      </c>
    </row>
    <row r="1884" spans="22:22" x14ac:dyDescent="0.25">
      <c r="V1884" s="1" t="str">
        <f>+IFERROR(IF(Tabla3[[#This Row],[Cilindros totales pendientes]]&gt;0,1,""),"")</f>
        <v/>
      </c>
    </row>
    <row r="1885" spans="22:22" x14ac:dyDescent="0.25">
      <c r="V1885" s="1" t="str">
        <f>+IFERROR(IF(Tabla3[[#This Row],[Cilindros totales pendientes]]&gt;0,1,""),"")</f>
        <v/>
      </c>
    </row>
    <row r="1886" spans="22:22" x14ac:dyDescent="0.25">
      <c r="V1886" s="1" t="str">
        <f>+IFERROR(IF(Tabla3[[#This Row],[Cilindros totales pendientes]]&gt;0,1,""),"")</f>
        <v/>
      </c>
    </row>
    <row r="1887" spans="22:22" x14ac:dyDescent="0.25">
      <c r="V1887" s="1" t="str">
        <f>+IFERROR(IF(Tabla3[[#This Row],[Cilindros totales pendientes]]&gt;0,1,""),"")</f>
        <v/>
      </c>
    </row>
    <row r="1888" spans="22:22" x14ac:dyDescent="0.25">
      <c r="V1888" s="1" t="str">
        <f>+IFERROR(IF(Tabla3[[#This Row],[Cilindros totales pendientes]]&gt;0,1,""),"")</f>
        <v/>
      </c>
    </row>
    <row r="1889" spans="22:22" x14ac:dyDescent="0.25">
      <c r="V1889" s="1" t="str">
        <f>+IFERROR(IF(Tabla3[[#This Row],[Cilindros totales pendientes]]&gt;0,1,""),"")</f>
        <v/>
      </c>
    </row>
    <row r="1890" spans="22:22" x14ac:dyDescent="0.25">
      <c r="V1890" s="1" t="str">
        <f>+IFERROR(IF(Tabla3[[#This Row],[Cilindros totales pendientes]]&gt;0,1,""),"")</f>
        <v/>
      </c>
    </row>
    <row r="1891" spans="22:22" x14ac:dyDescent="0.25">
      <c r="V1891" s="1" t="str">
        <f>+IFERROR(IF(Tabla3[[#This Row],[Cilindros totales pendientes]]&gt;0,1,""),"")</f>
        <v/>
      </c>
    </row>
    <row r="1892" spans="22:22" x14ac:dyDescent="0.25">
      <c r="V1892" s="1" t="str">
        <f>+IFERROR(IF(Tabla3[[#This Row],[Cilindros totales pendientes]]&gt;0,1,""),"")</f>
        <v/>
      </c>
    </row>
    <row r="1893" spans="22:22" x14ac:dyDescent="0.25">
      <c r="V1893" s="1" t="str">
        <f>+IFERROR(IF(Tabla3[[#This Row],[Cilindros totales pendientes]]&gt;0,1,""),"")</f>
        <v/>
      </c>
    </row>
    <row r="1894" spans="22:22" x14ac:dyDescent="0.25">
      <c r="V1894" s="1" t="str">
        <f>+IFERROR(IF(Tabla3[[#This Row],[Cilindros totales pendientes]]&gt;0,1,""),"")</f>
        <v/>
      </c>
    </row>
    <row r="1895" spans="22:22" x14ac:dyDescent="0.25">
      <c r="V1895" s="1" t="str">
        <f>+IFERROR(IF(Tabla3[[#This Row],[Cilindros totales pendientes]]&gt;0,1,""),"")</f>
        <v/>
      </c>
    </row>
    <row r="1896" spans="22:22" x14ac:dyDescent="0.25">
      <c r="V1896" s="1" t="str">
        <f>+IFERROR(IF(Tabla3[[#This Row],[Cilindros totales pendientes]]&gt;0,1,""),"")</f>
        <v/>
      </c>
    </row>
    <row r="1897" spans="22:22" x14ac:dyDescent="0.25">
      <c r="V1897" s="1" t="str">
        <f>+IFERROR(IF(Tabla3[[#This Row],[Cilindros totales pendientes]]&gt;0,1,""),"")</f>
        <v/>
      </c>
    </row>
    <row r="1898" spans="22:22" x14ac:dyDescent="0.25">
      <c r="V1898" s="1" t="str">
        <f>+IFERROR(IF(Tabla3[[#This Row],[Cilindros totales pendientes]]&gt;0,1,""),"")</f>
        <v/>
      </c>
    </row>
    <row r="1899" spans="22:22" x14ac:dyDescent="0.25">
      <c r="V1899" s="1" t="str">
        <f>+IFERROR(IF(Tabla3[[#This Row],[Cilindros totales pendientes]]&gt;0,1,""),"")</f>
        <v/>
      </c>
    </row>
    <row r="1900" spans="22:22" x14ac:dyDescent="0.25">
      <c r="V1900" s="1" t="str">
        <f>+IFERROR(IF(Tabla3[[#This Row],[Cilindros totales pendientes]]&gt;0,1,""),"")</f>
        <v/>
      </c>
    </row>
    <row r="1901" spans="22:22" x14ac:dyDescent="0.25">
      <c r="V1901" s="1" t="str">
        <f>+IFERROR(IF(Tabla3[[#This Row],[Cilindros totales pendientes]]&gt;0,1,""),"")</f>
        <v/>
      </c>
    </row>
    <row r="1902" spans="22:22" x14ac:dyDescent="0.25">
      <c r="V1902" s="1" t="str">
        <f>+IFERROR(IF(Tabla3[[#This Row],[Cilindros totales pendientes]]&gt;0,1,""),"")</f>
        <v/>
      </c>
    </row>
    <row r="1903" spans="22:22" x14ac:dyDescent="0.25">
      <c r="V1903" s="1" t="str">
        <f>+IFERROR(IF(Tabla3[[#This Row],[Cilindros totales pendientes]]&gt;0,1,""),"")</f>
        <v/>
      </c>
    </row>
    <row r="1904" spans="22:22" x14ac:dyDescent="0.25">
      <c r="V1904" s="1" t="str">
        <f>+IFERROR(IF(Tabla3[[#This Row],[Cilindros totales pendientes]]&gt;0,1,""),"")</f>
        <v/>
      </c>
    </row>
    <row r="1905" spans="22:22" x14ac:dyDescent="0.25">
      <c r="V1905" s="1" t="str">
        <f>+IFERROR(IF(Tabla3[[#This Row],[Cilindros totales pendientes]]&gt;0,1,""),"")</f>
        <v/>
      </c>
    </row>
    <row r="1906" spans="22:22" x14ac:dyDescent="0.25">
      <c r="V1906" s="1" t="str">
        <f>+IFERROR(IF(Tabla3[[#This Row],[Cilindros totales pendientes]]&gt;0,1,""),"")</f>
        <v/>
      </c>
    </row>
    <row r="1907" spans="22:22" x14ac:dyDescent="0.25">
      <c r="V1907" s="1" t="str">
        <f>+IFERROR(IF(Tabla3[[#This Row],[Cilindros totales pendientes]]&gt;0,1,""),"")</f>
        <v/>
      </c>
    </row>
    <row r="1908" spans="22:22" x14ac:dyDescent="0.25">
      <c r="V1908" s="1" t="str">
        <f>+IFERROR(IF(Tabla3[[#This Row],[Cilindros totales pendientes]]&gt;0,1,""),"")</f>
        <v/>
      </c>
    </row>
    <row r="1909" spans="22:22" x14ac:dyDescent="0.25">
      <c r="V1909" s="1" t="str">
        <f>+IFERROR(IF(Tabla3[[#This Row],[Cilindros totales pendientes]]&gt;0,1,""),"")</f>
        <v/>
      </c>
    </row>
    <row r="1910" spans="22:22" x14ac:dyDescent="0.25">
      <c r="V1910" s="1" t="str">
        <f>+IFERROR(IF(Tabla3[[#This Row],[Cilindros totales pendientes]]&gt;0,1,""),"")</f>
        <v/>
      </c>
    </row>
    <row r="1911" spans="22:22" x14ac:dyDescent="0.25">
      <c r="V1911" s="1" t="str">
        <f>+IFERROR(IF(Tabla3[[#This Row],[Cilindros totales pendientes]]&gt;0,1,""),"")</f>
        <v/>
      </c>
    </row>
    <row r="1912" spans="22:22" x14ac:dyDescent="0.25">
      <c r="V1912" s="1" t="str">
        <f>+IFERROR(IF(Tabla3[[#This Row],[Cilindros totales pendientes]]&gt;0,1,""),"")</f>
        <v/>
      </c>
    </row>
    <row r="1913" spans="22:22" x14ac:dyDescent="0.25">
      <c r="V1913" s="1" t="str">
        <f>+IFERROR(IF(Tabla3[[#This Row],[Cilindros totales pendientes]]&gt;0,1,""),"")</f>
        <v/>
      </c>
    </row>
    <row r="1914" spans="22:22" x14ac:dyDescent="0.25">
      <c r="V1914" s="1" t="str">
        <f>+IFERROR(IF(Tabla3[[#This Row],[Cilindros totales pendientes]]&gt;0,1,""),"")</f>
        <v/>
      </c>
    </row>
    <row r="1915" spans="22:22" x14ac:dyDescent="0.25">
      <c r="V1915" s="1" t="str">
        <f>+IFERROR(IF(Tabla3[[#This Row],[Cilindros totales pendientes]]&gt;0,1,""),"")</f>
        <v/>
      </c>
    </row>
    <row r="1916" spans="22:22" x14ac:dyDescent="0.25">
      <c r="V1916" s="1" t="str">
        <f>+IFERROR(IF(Tabla3[[#This Row],[Cilindros totales pendientes]]&gt;0,1,""),"")</f>
        <v/>
      </c>
    </row>
    <row r="1917" spans="22:22" x14ac:dyDescent="0.25">
      <c r="V1917" s="1" t="str">
        <f>+IFERROR(IF(Tabla3[[#This Row],[Cilindros totales pendientes]]&gt;0,1,""),"")</f>
        <v/>
      </c>
    </row>
    <row r="1918" spans="22:22" x14ac:dyDescent="0.25">
      <c r="V1918" s="1" t="str">
        <f>+IFERROR(IF(Tabla3[[#This Row],[Cilindros totales pendientes]]&gt;0,1,""),"")</f>
        <v/>
      </c>
    </row>
    <row r="1919" spans="22:22" x14ac:dyDescent="0.25">
      <c r="V1919" s="1" t="str">
        <f>+IFERROR(IF(Tabla3[[#This Row],[Cilindros totales pendientes]]&gt;0,1,""),"")</f>
        <v/>
      </c>
    </row>
    <row r="1920" spans="22:22" x14ac:dyDescent="0.25">
      <c r="V1920" s="1" t="str">
        <f>+IFERROR(IF(Tabla3[[#This Row],[Cilindros totales pendientes]]&gt;0,1,""),"")</f>
        <v/>
      </c>
    </row>
    <row r="1921" spans="22:22" x14ac:dyDescent="0.25">
      <c r="V1921" s="1" t="str">
        <f>+IFERROR(IF(Tabla3[[#This Row],[Cilindros totales pendientes]]&gt;0,1,""),"")</f>
        <v/>
      </c>
    </row>
    <row r="1922" spans="22:22" x14ac:dyDescent="0.25">
      <c r="V1922" s="1" t="str">
        <f>+IFERROR(IF(Tabla3[[#This Row],[Cilindros totales pendientes]]&gt;0,1,""),"")</f>
        <v/>
      </c>
    </row>
    <row r="1923" spans="22:22" x14ac:dyDescent="0.25">
      <c r="V1923" s="1" t="str">
        <f>+IFERROR(IF(Tabla3[[#This Row],[Cilindros totales pendientes]]&gt;0,1,""),"")</f>
        <v/>
      </c>
    </row>
    <row r="1924" spans="22:22" x14ac:dyDescent="0.25">
      <c r="V1924" s="1" t="str">
        <f>+IFERROR(IF(Tabla3[[#This Row],[Cilindros totales pendientes]]&gt;0,1,""),"")</f>
        <v/>
      </c>
    </row>
    <row r="1925" spans="22:22" x14ac:dyDescent="0.25">
      <c r="V1925" s="1" t="str">
        <f>+IFERROR(IF(Tabla3[[#This Row],[Cilindros totales pendientes]]&gt;0,1,""),"")</f>
        <v/>
      </c>
    </row>
    <row r="1926" spans="22:22" x14ac:dyDescent="0.25">
      <c r="V1926" s="1" t="str">
        <f>+IFERROR(IF(Tabla3[[#This Row],[Cilindros totales pendientes]]&gt;0,1,""),"")</f>
        <v/>
      </c>
    </row>
    <row r="1927" spans="22:22" x14ac:dyDescent="0.25">
      <c r="V1927" s="1" t="str">
        <f>+IFERROR(IF(Tabla3[[#This Row],[Cilindros totales pendientes]]&gt;0,1,""),"")</f>
        <v/>
      </c>
    </row>
    <row r="1928" spans="22:22" x14ac:dyDescent="0.25">
      <c r="V1928" s="1" t="str">
        <f>+IFERROR(IF(Tabla3[[#This Row],[Cilindros totales pendientes]]&gt;0,1,""),"")</f>
        <v/>
      </c>
    </row>
    <row r="1929" spans="22:22" x14ac:dyDescent="0.25">
      <c r="V1929" s="1" t="str">
        <f>+IFERROR(IF(Tabla3[[#This Row],[Cilindros totales pendientes]]&gt;0,1,""),"")</f>
        <v/>
      </c>
    </row>
    <row r="1930" spans="22:22" x14ac:dyDescent="0.25">
      <c r="V1930" s="1" t="str">
        <f>+IFERROR(IF(Tabla3[[#This Row],[Cilindros totales pendientes]]&gt;0,1,""),"")</f>
        <v/>
      </c>
    </row>
    <row r="1931" spans="22:22" x14ac:dyDescent="0.25">
      <c r="V1931" s="1" t="str">
        <f>+IFERROR(IF(Tabla3[[#This Row],[Cilindros totales pendientes]]&gt;0,1,""),"")</f>
        <v/>
      </c>
    </row>
    <row r="1932" spans="22:22" x14ac:dyDescent="0.25">
      <c r="V1932" s="1" t="str">
        <f>+IFERROR(IF(Tabla3[[#This Row],[Cilindros totales pendientes]]&gt;0,1,""),"")</f>
        <v/>
      </c>
    </row>
    <row r="1933" spans="22:22" x14ac:dyDescent="0.25">
      <c r="V1933" s="1" t="str">
        <f>+IFERROR(IF(Tabla3[[#This Row],[Cilindros totales pendientes]]&gt;0,1,""),"")</f>
        <v/>
      </c>
    </row>
    <row r="1934" spans="22:22" x14ac:dyDescent="0.25">
      <c r="V1934" s="1" t="str">
        <f>+IFERROR(IF(Tabla3[[#This Row],[Cilindros totales pendientes]]&gt;0,1,""),"")</f>
        <v/>
      </c>
    </row>
    <row r="1935" spans="22:22" x14ac:dyDescent="0.25">
      <c r="V1935" s="1" t="str">
        <f>+IFERROR(IF(Tabla3[[#This Row],[Cilindros totales pendientes]]&gt;0,1,""),"")</f>
        <v/>
      </c>
    </row>
    <row r="1936" spans="22:22" x14ac:dyDescent="0.25">
      <c r="V1936" s="1" t="str">
        <f>+IFERROR(IF(Tabla3[[#This Row],[Cilindros totales pendientes]]&gt;0,1,""),"")</f>
        <v/>
      </c>
    </row>
    <row r="1937" spans="22:22" x14ac:dyDescent="0.25">
      <c r="V1937" s="1" t="str">
        <f>+IFERROR(IF(Tabla3[[#This Row],[Cilindros totales pendientes]]&gt;0,1,""),"")</f>
        <v/>
      </c>
    </row>
    <row r="1938" spans="22:22" x14ac:dyDescent="0.25">
      <c r="V1938" s="1" t="str">
        <f>+IFERROR(IF(Tabla3[[#This Row],[Cilindros totales pendientes]]&gt;0,1,""),"")</f>
        <v/>
      </c>
    </row>
    <row r="1939" spans="22:22" x14ac:dyDescent="0.25">
      <c r="V1939" s="1" t="str">
        <f>+IFERROR(IF(Tabla3[[#This Row],[Cilindros totales pendientes]]&gt;0,1,""),"")</f>
        <v/>
      </c>
    </row>
    <row r="1940" spans="22:22" x14ac:dyDescent="0.25">
      <c r="V1940" s="1" t="str">
        <f>+IFERROR(IF(Tabla3[[#This Row],[Cilindros totales pendientes]]&gt;0,1,""),"")</f>
        <v/>
      </c>
    </row>
    <row r="1941" spans="22:22" x14ac:dyDescent="0.25">
      <c r="V1941" s="1" t="str">
        <f>+IFERROR(IF(Tabla3[[#This Row],[Cilindros totales pendientes]]&gt;0,1,""),"")</f>
        <v/>
      </c>
    </row>
    <row r="1942" spans="22:22" x14ac:dyDescent="0.25">
      <c r="V1942" s="1" t="str">
        <f>+IFERROR(IF(Tabla3[[#This Row],[Cilindros totales pendientes]]&gt;0,1,""),"")</f>
        <v/>
      </c>
    </row>
    <row r="1943" spans="22:22" x14ac:dyDescent="0.25">
      <c r="V1943" s="1" t="str">
        <f>+IFERROR(IF(Tabla3[[#This Row],[Cilindros totales pendientes]]&gt;0,1,""),"")</f>
        <v/>
      </c>
    </row>
    <row r="1944" spans="22:22" x14ac:dyDescent="0.25">
      <c r="V1944" s="1" t="str">
        <f>+IFERROR(IF(Tabla3[[#This Row],[Cilindros totales pendientes]]&gt;0,1,""),"")</f>
        <v/>
      </c>
    </row>
    <row r="1945" spans="22:22" x14ac:dyDescent="0.25">
      <c r="V1945" s="1" t="str">
        <f>+IFERROR(IF(Tabla3[[#This Row],[Cilindros totales pendientes]]&gt;0,1,""),"")</f>
        <v/>
      </c>
    </row>
    <row r="1946" spans="22:22" x14ac:dyDescent="0.25">
      <c r="V1946" s="1" t="str">
        <f>+IFERROR(IF(Tabla3[[#This Row],[Cilindros totales pendientes]]&gt;0,1,""),"")</f>
        <v/>
      </c>
    </row>
    <row r="1947" spans="22:22" x14ac:dyDescent="0.25">
      <c r="V1947" s="1" t="str">
        <f>+IFERROR(IF(Tabla3[[#This Row],[Cilindros totales pendientes]]&gt;0,1,""),"")</f>
        <v/>
      </c>
    </row>
    <row r="1948" spans="22:22" x14ac:dyDescent="0.25">
      <c r="V1948" s="1" t="str">
        <f>+IFERROR(IF(Tabla3[[#This Row],[Cilindros totales pendientes]]&gt;0,1,""),"")</f>
        <v/>
      </c>
    </row>
    <row r="1949" spans="22:22" x14ac:dyDescent="0.25">
      <c r="V1949" s="1" t="str">
        <f>+IFERROR(IF(Tabla3[[#This Row],[Cilindros totales pendientes]]&gt;0,1,""),"")</f>
        <v/>
      </c>
    </row>
    <row r="1950" spans="22:22" x14ac:dyDescent="0.25">
      <c r="V1950" s="1" t="str">
        <f>+IFERROR(IF(Tabla3[[#This Row],[Cilindros totales pendientes]]&gt;0,1,""),"")</f>
        <v/>
      </c>
    </row>
    <row r="1951" spans="22:22" x14ac:dyDescent="0.25">
      <c r="V1951" s="1" t="str">
        <f>+IFERROR(IF(Tabla3[[#This Row],[Cilindros totales pendientes]]&gt;0,1,""),"")</f>
        <v/>
      </c>
    </row>
    <row r="1952" spans="22:22" x14ac:dyDescent="0.25">
      <c r="V1952" s="1" t="str">
        <f>+IFERROR(IF(Tabla3[[#This Row],[Cilindros totales pendientes]]&gt;0,1,""),"")</f>
        <v/>
      </c>
    </row>
    <row r="1953" spans="22:22" x14ac:dyDescent="0.25">
      <c r="V1953" s="1" t="str">
        <f>+IFERROR(IF(Tabla3[[#This Row],[Cilindros totales pendientes]]&gt;0,1,""),"")</f>
        <v/>
      </c>
    </row>
    <row r="1954" spans="22:22" x14ac:dyDescent="0.25">
      <c r="V1954" s="1" t="str">
        <f>+IFERROR(IF(Tabla3[[#This Row],[Cilindros totales pendientes]]&gt;0,1,""),"")</f>
        <v/>
      </c>
    </row>
    <row r="1955" spans="22:22" x14ac:dyDescent="0.25">
      <c r="V1955" s="1" t="str">
        <f>+IFERROR(IF(Tabla3[[#This Row],[Cilindros totales pendientes]]&gt;0,1,""),"")</f>
        <v/>
      </c>
    </row>
    <row r="1956" spans="22:22" x14ac:dyDescent="0.25">
      <c r="V1956" s="1" t="str">
        <f>+IFERROR(IF(Tabla3[[#This Row],[Cilindros totales pendientes]]&gt;0,1,""),"")</f>
        <v/>
      </c>
    </row>
    <row r="1957" spans="22:22" x14ac:dyDescent="0.25">
      <c r="V1957" s="1" t="str">
        <f>+IFERROR(IF(Tabla3[[#This Row],[Cilindros totales pendientes]]&gt;0,1,""),"")</f>
        <v/>
      </c>
    </row>
    <row r="1958" spans="22:22" x14ac:dyDescent="0.25">
      <c r="V1958" s="1" t="str">
        <f>+IFERROR(IF(Tabla3[[#This Row],[Cilindros totales pendientes]]&gt;0,1,""),"")</f>
        <v/>
      </c>
    </row>
    <row r="1959" spans="22:22" x14ac:dyDescent="0.25">
      <c r="V1959" s="1" t="str">
        <f>+IFERROR(IF(Tabla3[[#This Row],[Cilindros totales pendientes]]&gt;0,1,""),"")</f>
        <v/>
      </c>
    </row>
    <row r="1960" spans="22:22" x14ac:dyDescent="0.25">
      <c r="V1960" s="1" t="str">
        <f>+IFERROR(IF(Tabla3[[#This Row],[Cilindros totales pendientes]]&gt;0,1,""),"")</f>
        <v/>
      </c>
    </row>
    <row r="1961" spans="22:22" x14ac:dyDescent="0.25">
      <c r="V1961" s="1" t="str">
        <f>+IFERROR(IF(Tabla3[[#This Row],[Cilindros totales pendientes]]&gt;0,1,""),"")</f>
        <v/>
      </c>
    </row>
    <row r="1962" spans="22:22" x14ac:dyDescent="0.25">
      <c r="V1962" s="1" t="str">
        <f>+IFERROR(IF(Tabla3[[#This Row],[Cilindros totales pendientes]]&gt;0,1,""),"")</f>
        <v/>
      </c>
    </row>
    <row r="1963" spans="22:22" x14ac:dyDescent="0.25">
      <c r="V1963" s="1" t="str">
        <f>+IFERROR(IF(Tabla3[[#This Row],[Cilindros totales pendientes]]&gt;0,1,""),"")</f>
        <v/>
      </c>
    </row>
    <row r="1964" spans="22:22" x14ac:dyDescent="0.25">
      <c r="V1964" s="1" t="str">
        <f>+IFERROR(IF(Tabla3[[#This Row],[Cilindros totales pendientes]]&gt;0,1,""),"")</f>
        <v/>
      </c>
    </row>
    <row r="1965" spans="22:22" x14ac:dyDescent="0.25">
      <c r="V1965" s="1" t="str">
        <f>+IFERROR(IF(Tabla3[[#This Row],[Cilindros totales pendientes]]&gt;0,1,""),"")</f>
        <v/>
      </c>
    </row>
    <row r="1966" spans="22:22" x14ac:dyDescent="0.25">
      <c r="V1966" s="1" t="str">
        <f>+IFERROR(IF(Tabla3[[#This Row],[Cilindros totales pendientes]]&gt;0,1,""),"")</f>
        <v/>
      </c>
    </row>
    <row r="1967" spans="22:22" x14ac:dyDescent="0.25">
      <c r="V1967" s="1" t="str">
        <f>+IFERROR(IF(Tabla3[[#This Row],[Cilindros totales pendientes]]&gt;0,1,""),"")</f>
        <v/>
      </c>
    </row>
    <row r="1968" spans="22:22" x14ac:dyDescent="0.25">
      <c r="V1968" s="1" t="str">
        <f>+IFERROR(IF(Tabla3[[#This Row],[Cilindros totales pendientes]]&gt;0,1,""),"")</f>
        <v/>
      </c>
    </row>
    <row r="1969" spans="22:22" x14ac:dyDescent="0.25">
      <c r="V1969" s="1" t="str">
        <f>+IFERROR(IF(Tabla3[[#This Row],[Cilindros totales pendientes]]&gt;0,1,""),"")</f>
        <v/>
      </c>
    </row>
    <row r="1970" spans="22:22" x14ac:dyDescent="0.25">
      <c r="V1970" s="1" t="str">
        <f>+IFERROR(IF(Tabla3[[#This Row],[Cilindros totales pendientes]]&gt;0,1,""),"")</f>
        <v/>
      </c>
    </row>
    <row r="1971" spans="22:22" x14ac:dyDescent="0.25">
      <c r="V1971" s="1" t="str">
        <f>+IFERROR(IF(Tabla3[[#This Row],[Cilindros totales pendientes]]&gt;0,1,""),"")</f>
        <v/>
      </c>
    </row>
    <row r="1972" spans="22:22" x14ac:dyDescent="0.25">
      <c r="V1972" s="1" t="str">
        <f>+IFERROR(IF(Tabla3[[#This Row],[Cilindros totales pendientes]]&gt;0,1,""),"")</f>
        <v/>
      </c>
    </row>
    <row r="1973" spans="22:22" x14ac:dyDescent="0.25">
      <c r="V1973" s="1" t="str">
        <f>+IFERROR(IF(Tabla3[[#This Row],[Cilindros totales pendientes]]&gt;0,1,""),"")</f>
        <v/>
      </c>
    </row>
    <row r="1974" spans="22:22" x14ac:dyDescent="0.25">
      <c r="V1974" s="1" t="str">
        <f>+IFERROR(IF(Tabla3[[#This Row],[Cilindros totales pendientes]]&gt;0,1,""),"")</f>
        <v/>
      </c>
    </row>
    <row r="1975" spans="22:22" x14ac:dyDescent="0.25">
      <c r="V1975" s="1" t="str">
        <f>+IFERROR(IF(Tabla3[[#This Row],[Cilindros totales pendientes]]&gt;0,1,""),"")</f>
        <v/>
      </c>
    </row>
    <row r="1976" spans="22:22" x14ac:dyDescent="0.25">
      <c r="V1976" s="1" t="str">
        <f>+IFERROR(IF(Tabla3[[#This Row],[Cilindros totales pendientes]]&gt;0,1,""),"")</f>
        <v/>
      </c>
    </row>
    <row r="1977" spans="22:22" x14ac:dyDescent="0.25">
      <c r="V1977" s="1" t="str">
        <f>+IFERROR(IF(Tabla3[[#This Row],[Cilindros totales pendientes]]&gt;0,1,""),"")</f>
        <v/>
      </c>
    </row>
    <row r="1978" spans="22:22" x14ac:dyDescent="0.25">
      <c r="V1978" s="1" t="str">
        <f>+IFERROR(IF(Tabla3[[#This Row],[Cilindros totales pendientes]]&gt;0,1,""),"")</f>
        <v/>
      </c>
    </row>
    <row r="1979" spans="22:22" x14ac:dyDescent="0.25">
      <c r="V1979" s="1" t="str">
        <f>+IFERROR(IF(Tabla3[[#This Row],[Cilindros totales pendientes]]&gt;0,1,""),"")</f>
        <v/>
      </c>
    </row>
    <row r="1980" spans="22:22" x14ac:dyDescent="0.25">
      <c r="V1980" s="1" t="str">
        <f>+IFERROR(IF(Tabla3[[#This Row],[Cilindros totales pendientes]]&gt;0,1,""),"")</f>
        <v/>
      </c>
    </row>
    <row r="1981" spans="22:22" x14ac:dyDescent="0.25">
      <c r="V1981" s="1" t="str">
        <f>+IFERROR(IF(Tabla3[[#This Row],[Cilindros totales pendientes]]&gt;0,1,""),"")</f>
        <v/>
      </c>
    </row>
    <row r="1982" spans="22:22" x14ac:dyDescent="0.25">
      <c r="V1982" s="1" t="str">
        <f>+IFERROR(IF(Tabla3[[#This Row],[Cilindros totales pendientes]]&gt;0,1,""),"")</f>
        <v/>
      </c>
    </row>
    <row r="1983" spans="22:22" x14ac:dyDescent="0.25">
      <c r="V1983" s="1" t="str">
        <f>+IFERROR(IF(Tabla3[[#This Row],[Cilindros totales pendientes]]&gt;0,1,""),"")</f>
        <v/>
      </c>
    </row>
    <row r="1984" spans="22:22" x14ac:dyDescent="0.25">
      <c r="V1984" s="1" t="str">
        <f>+IFERROR(IF(Tabla3[[#This Row],[Cilindros totales pendientes]]&gt;0,1,""),"")</f>
        <v/>
      </c>
    </row>
    <row r="1985" spans="22:22" x14ac:dyDescent="0.25">
      <c r="V1985" s="1" t="str">
        <f>+IFERROR(IF(Tabla3[[#This Row],[Cilindros totales pendientes]]&gt;0,1,""),"")</f>
        <v/>
      </c>
    </row>
    <row r="1986" spans="22:22" x14ac:dyDescent="0.25">
      <c r="V1986" s="1" t="str">
        <f>+IFERROR(IF(Tabla3[[#This Row],[Cilindros totales pendientes]]&gt;0,1,""),"")</f>
        <v/>
      </c>
    </row>
    <row r="1987" spans="22:22" x14ac:dyDescent="0.25">
      <c r="V1987" s="1" t="str">
        <f>+IFERROR(IF(Tabla3[[#This Row],[Cilindros totales pendientes]]&gt;0,1,""),"")</f>
        <v/>
      </c>
    </row>
    <row r="1988" spans="22:22" x14ac:dyDescent="0.25">
      <c r="V1988" s="1" t="str">
        <f>+IFERROR(IF(Tabla3[[#This Row],[Cilindros totales pendientes]]&gt;0,1,""),"")</f>
        <v/>
      </c>
    </row>
    <row r="1989" spans="22:22" x14ac:dyDescent="0.25">
      <c r="V1989" s="1" t="str">
        <f>+IFERROR(IF(Tabla3[[#This Row],[Cilindros totales pendientes]]&gt;0,1,""),"")</f>
        <v/>
      </c>
    </row>
    <row r="1990" spans="22:22" x14ac:dyDescent="0.25">
      <c r="V1990" s="1" t="str">
        <f>+IFERROR(IF(Tabla3[[#This Row],[Cilindros totales pendientes]]&gt;0,1,""),"")</f>
        <v/>
      </c>
    </row>
    <row r="1991" spans="22:22" x14ac:dyDescent="0.25">
      <c r="V1991" s="1" t="str">
        <f>+IFERROR(IF(Tabla3[[#This Row],[Cilindros totales pendientes]]&gt;0,1,""),"")</f>
        <v/>
      </c>
    </row>
    <row r="1992" spans="22:22" x14ac:dyDescent="0.25">
      <c r="V1992" s="1" t="str">
        <f>+IFERROR(IF(Tabla3[[#This Row],[Cilindros totales pendientes]]&gt;0,1,""),"")</f>
        <v/>
      </c>
    </row>
    <row r="1993" spans="22:22" x14ac:dyDescent="0.25">
      <c r="V1993" s="1" t="str">
        <f>+IFERROR(IF(Tabla3[[#This Row],[Cilindros totales pendientes]]&gt;0,1,""),"")</f>
        <v/>
      </c>
    </row>
    <row r="1994" spans="22:22" x14ac:dyDescent="0.25">
      <c r="V1994" s="1" t="str">
        <f>+IFERROR(IF(Tabla3[[#This Row],[Cilindros totales pendientes]]&gt;0,1,""),"")</f>
        <v/>
      </c>
    </row>
    <row r="1995" spans="22:22" x14ac:dyDescent="0.25">
      <c r="V1995" s="1" t="str">
        <f>+IFERROR(IF(Tabla3[[#This Row],[Cilindros totales pendientes]]&gt;0,1,""),"")</f>
        <v/>
      </c>
    </row>
    <row r="1996" spans="22:22" x14ac:dyDescent="0.25">
      <c r="V1996" s="1" t="str">
        <f>+IFERROR(IF(Tabla3[[#This Row],[Cilindros totales pendientes]]&gt;0,1,""),"")</f>
        <v/>
      </c>
    </row>
    <row r="1997" spans="22:22" x14ac:dyDescent="0.25">
      <c r="V1997" s="1" t="str">
        <f>+IFERROR(IF(Tabla3[[#This Row],[Cilindros totales pendientes]]&gt;0,1,""),"")</f>
        <v/>
      </c>
    </row>
    <row r="1998" spans="22:22" x14ac:dyDescent="0.25">
      <c r="V1998" s="1" t="str">
        <f>+IFERROR(IF(Tabla3[[#This Row],[Cilindros totales pendientes]]&gt;0,1,""),"")</f>
        <v/>
      </c>
    </row>
    <row r="1999" spans="22:22" x14ac:dyDescent="0.25">
      <c r="V1999" s="1" t="str">
        <f>+IFERROR(IF(Tabla3[[#This Row],[Cilindros totales pendientes]]&gt;0,1,""),"")</f>
        <v/>
      </c>
    </row>
    <row r="2000" spans="22:22" x14ac:dyDescent="0.25">
      <c r="V2000" s="1" t="str">
        <f>+IFERROR(IF(Tabla3[[#This Row],[Cilindros totales pendientes]]&gt;0,1,""),"")</f>
        <v/>
      </c>
    </row>
    <row r="2001" spans="22:22" x14ac:dyDescent="0.25">
      <c r="V2001" s="1" t="str">
        <f>+IFERROR(IF(Tabla3[[#This Row],[Cilindros totales pendientes]]&gt;0,1,""),"")</f>
        <v/>
      </c>
    </row>
    <row r="2002" spans="22:22" x14ac:dyDescent="0.25">
      <c r="V2002" s="1" t="str">
        <f>+IFERROR(IF(Tabla3[[#This Row],[Cilindros totales pendientes]]&gt;0,1,""),"")</f>
        <v/>
      </c>
    </row>
    <row r="2003" spans="22:22" x14ac:dyDescent="0.25">
      <c r="V2003" s="1" t="str">
        <f>+IFERROR(IF(Tabla3[[#This Row],[Cilindros totales pendientes]]&gt;0,1,""),"")</f>
        <v/>
      </c>
    </row>
    <row r="2004" spans="22:22" x14ac:dyDescent="0.25">
      <c r="V2004" s="1" t="str">
        <f>+IFERROR(IF(Tabla3[[#This Row],[Cilindros totales pendientes]]&gt;0,1,""),"")</f>
        <v/>
      </c>
    </row>
    <row r="2005" spans="22:22" x14ac:dyDescent="0.25">
      <c r="V2005" s="1" t="str">
        <f>+IFERROR(IF(Tabla3[[#This Row],[Cilindros totales pendientes]]&gt;0,1,""),"")</f>
        <v/>
      </c>
    </row>
    <row r="2006" spans="22:22" x14ac:dyDescent="0.25">
      <c r="V2006" s="1" t="str">
        <f>+IFERROR(IF(Tabla3[[#This Row],[Cilindros totales pendientes]]&gt;0,1,""),"")</f>
        <v/>
      </c>
    </row>
    <row r="2007" spans="22:22" x14ac:dyDescent="0.25">
      <c r="V2007" s="1" t="str">
        <f>+IFERROR(IF(Tabla3[[#This Row],[Cilindros totales pendientes]]&gt;0,1,""),"")</f>
        <v/>
      </c>
    </row>
    <row r="2008" spans="22:22" x14ac:dyDescent="0.25">
      <c r="V2008" s="1" t="str">
        <f>+IFERROR(IF(Tabla3[[#This Row],[Cilindros totales pendientes]]&gt;0,1,""),"")</f>
        <v/>
      </c>
    </row>
    <row r="2009" spans="22:22" x14ac:dyDescent="0.25">
      <c r="V2009" s="1" t="str">
        <f>+IFERROR(IF(Tabla3[[#This Row],[Cilindros totales pendientes]]&gt;0,1,""),"")</f>
        <v/>
      </c>
    </row>
    <row r="2010" spans="22:22" x14ac:dyDescent="0.25">
      <c r="V2010" s="1" t="str">
        <f>+IFERROR(IF(Tabla3[[#This Row],[Cilindros totales pendientes]]&gt;0,1,""),"")</f>
        <v/>
      </c>
    </row>
    <row r="2011" spans="22:22" x14ac:dyDescent="0.25">
      <c r="V2011" s="1" t="str">
        <f>+IFERROR(IF(Tabla3[[#This Row],[Cilindros totales pendientes]]&gt;0,1,""),"")</f>
        <v/>
      </c>
    </row>
    <row r="2012" spans="22:22" x14ac:dyDescent="0.25">
      <c r="V2012" s="1" t="str">
        <f>+IFERROR(IF(Tabla3[[#This Row],[Cilindros totales pendientes]]&gt;0,1,""),"")</f>
        <v/>
      </c>
    </row>
    <row r="2013" spans="22:22" x14ac:dyDescent="0.25">
      <c r="V2013" s="1" t="str">
        <f>+IFERROR(IF(Tabla3[[#This Row],[Cilindros totales pendientes]]&gt;0,1,""),"")</f>
        <v/>
      </c>
    </row>
    <row r="2014" spans="22:22" x14ac:dyDescent="0.25">
      <c r="V2014" s="1" t="str">
        <f>+IFERROR(IF(Tabla3[[#This Row],[Cilindros totales pendientes]]&gt;0,1,""),"")</f>
        <v/>
      </c>
    </row>
    <row r="2015" spans="22:22" x14ac:dyDescent="0.25">
      <c r="V2015" s="1" t="str">
        <f>+IFERROR(IF(Tabla3[[#This Row],[Cilindros totales pendientes]]&gt;0,1,""),"")</f>
        <v/>
      </c>
    </row>
    <row r="2016" spans="22:22" x14ac:dyDescent="0.25">
      <c r="V2016" s="1" t="str">
        <f>+IFERROR(IF(Tabla3[[#This Row],[Cilindros totales pendientes]]&gt;0,1,""),"")</f>
        <v/>
      </c>
    </row>
    <row r="2017" spans="22:22" x14ac:dyDescent="0.25">
      <c r="V2017" s="1" t="str">
        <f>+IFERROR(IF(Tabla3[[#This Row],[Cilindros totales pendientes]]&gt;0,1,""),"")</f>
        <v/>
      </c>
    </row>
    <row r="2018" spans="22:22" x14ac:dyDescent="0.25">
      <c r="V2018" s="1" t="str">
        <f>+IFERROR(IF(Tabla3[[#This Row],[Cilindros totales pendientes]]&gt;0,1,""),"")</f>
        <v/>
      </c>
    </row>
    <row r="2019" spans="22:22" x14ac:dyDescent="0.25">
      <c r="V2019" s="1" t="str">
        <f>+IFERROR(IF(Tabla3[[#This Row],[Cilindros totales pendientes]]&gt;0,1,""),"")</f>
        <v/>
      </c>
    </row>
    <row r="2020" spans="22:22" x14ac:dyDescent="0.25">
      <c r="V2020" s="1" t="str">
        <f>+IFERROR(IF(Tabla3[[#This Row],[Cilindros totales pendientes]]&gt;0,1,""),"")</f>
        <v/>
      </c>
    </row>
    <row r="2021" spans="22:22" x14ac:dyDescent="0.25">
      <c r="V2021" s="1" t="str">
        <f>+IFERROR(IF(Tabla3[[#This Row],[Cilindros totales pendientes]]&gt;0,1,""),"")</f>
        <v/>
      </c>
    </row>
    <row r="2022" spans="22:22" x14ac:dyDescent="0.25">
      <c r="V2022" s="1" t="str">
        <f>+IFERROR(IF(Tabla3[[#This Row],[Cilindros totales pendientes]]&gt;0,1,""),"")</f>
        <v/>
      </c>
    </row>
    <row r="2023" spans="22:22" x14ac:dyDescent="0.25">
      <c r="V2023" s="1" t="str">
        <f>+IFERROR(IF(Tabla3[[#This Row],[Cilindros totales pendientes]]&gt;0,1,""),"")</f>
        <v/>
      </c>
    </row>
    <row r="2024" spans="22:22" x14ac:dyDescent="0.25">
      <c r="V2024" s="1" t="str">
        <f>+IFERROR(IF(Tabla3[[#This Row],[Cilindros totales pendientes]]&gt;0,1,""),"")</f>
        <v/>
      </c>
    </row>
    <row r="2025" spans="22:22" x14ac:dyDescent="0.25">
      <c r="V2025" s="1" t="str">
        <f>+IFERROR(IF(Tabla3[[#This Row],[Cilindros totales pendientes]]&gt;0,1,""),"")</f>
        <v/>
      </c>
    </row>
    <row r="2026" spans="22:22" x14ac:dyDescent="0.25">
      <c r="V2026" s="1" t="str">
        <f>+IFERROR(IF(Tabla3[[#This Row],[Cilindros totales pendientes]]&gt;0,1,""),"")</f>
        <v/>
      </c>
    </row>
    <row r="2027" spans="22:22" x14ac:dyDescent="0.25">
      <c r="V2027" s="1" t="str">
        <f>+IFERROR(IF(Tabla3[[#This Row],[Cilindros totales pendientes]]&gt;0,1,""),"")</f>
        <v/>
      </c>
    </row>
    <row r="2028" spans="22:22" x14ac:dyDescent="0.25">
      <c r="V2028" s="1" t="str">
        <f>+IFERROR(IF(Tabla3[[#This Row],[Cilindros totales pendientes]]&gt;0,1,""),"")</f>
        <v/>
      </c>
    </row>
    <row r="2029" spans="22:22" x14ac:dyDescent="0.25">
      <c r="V2029" s="1" t="str">
        <f>+IFERROR(IF(Tabla3[[#This Row],[Cilindros totales pendientes]]&gt;0,1,""),"")</f>
        <v/>
      </c>
    </row>
    <row r="2030" spans="22:22" x14ac:dyDescent="0.25">
      <c r="V2030" s="1" t="str">
        <f>+IFERROR(IF(Tabla3[[#This Row],[Cilindros totales pendientes]]&gt;0,1,""),"")</f>
        <v/>
      </c>
    </row>
    <row r="2031" spans="22:22" x14ac:dyDescent="0.25">
      <c r="V2031" s="1" t="str">
        <f>+IFERROR(IF(Tabla3[[#This Row],[Cilindros totales pendientes]]&gt;0,1,""),"")</f>
        <v/>
      </c>
    </row>
    <row r="2032" spans="22:22" x14ac:dyDescent="0.25">
      <c r="V2032" s="1" t="str">
        <f>+IFERROR(IF(Tabla3[[#This Row],[Cilindros totales pendientes]]&gt;0,1,""),"")</f>
        <v/>
      </c>
    </row>
    <row r="2033" spans="22:22" x14ac:dyDescent="0.25">
      <c r="V2033" s="1" t="str">
        <f>+IFERROR(IF(Tabla3[[#This Row],[Cilindros totales pendientes]]&gt;0,1,""),"")</f>
        <v/>
      </c>
    </row>
    <row r="2034" spans="22:22" x14ac:dyDescent="0.25">
      <c r="V2034" s="1" t="str">
        <f>+IFERROR(IF(Tabla3[[#This Row],[Cilindros totales pendientes]]&gt;0,1,""),"")</f>
        <v/>
      </c>
    </row>
    <row r="2035" spans="22:22" x14ac:dyDescent="0.25">
      <c r="V2035" s="1" t="str">
        <f>+IFERROR(IF(Tabla3[[#This Row],[Cilindros totales pendientes]]&gt;0,1,""),"")</f>
        <v/>
      </c>
    </row>
    <row r="2036" spans="22:22" x14ac:dyDescent="0.25">
      <c r="V2036" s="1" t="str">
        <f>+IFERROR(IF(Tabla3[[#This Row],[Cilindros totales pendientes]]&gt;0,1,""),"")</f>
        <v/>
      </c>
    </row>
    <row r="2037" spans="22:22" x14ac:dyDescent="0.25">
      <c r="V2037" s="1" t="str">
        <f>+IFERROR(IF(Tabla3[[#This Row],[Cilindros totales pendientes]]&gt;0,1,""),"")</f>
        <v/>
      </c>
    </row>
    <row r="2038" spans="22:22" x14ac:dyDescent="0.25">
      <c r="V2038" s="1" t="str">
        <f>+IFERROR(IF(Tabla3[[#This Row],[Cilindros totales pendientes]]&gt;0,1,""),"")</f>
        <v/>
      </c>
    </row>
    <row r="2039" spans="22:22" x14ac:dyDescent="0.25">
      <c r="V2039" s="1" t="str">
        <f>+IFERROR(IF(Tabla3[[#This Row],[Cilindros totales pendientes]]&gt;0,1,""),"")</f>
        <v/>
      </c>
    </row>
    <row r="2040" spans="22:22" x14ac:dyDescent="0.25">
      <c r="V2040" s="1" t="str">
        <f>+IFERROR(IF(Tabla3[[#This Row],[Cilindros totales pendientes]]&gt;0,1,""),"")</f>
        <v/>
      </c>
    </row>
    <row r="2041" spans="22:22" x14ac:dyDescent="0.25">
      <c r="V2041" s="1" t="str">
        <f>+IFERROR(IF(Tabla3[[#This Row],[Cilindros totales pendientes]]&gt;0,1,""),"")</f>
        <v/>
      </c>
    </row>
    <row r="2042" spans="22:22" x14ac:dyDescent="0.25">
      <c r="V2042" s="1" t="str">
        <f>+IFERROR(IF(Tabla3[[#This Row],[Cilindros totales pendientes]]&gt;0,1,""),"")</f>
        <v/>
      </c>
    </row>
    <row r="2043" spans="22:22" x14ac:dyDescent="0.25">
      <c r="V2043" s="1" t="str">
        <f>+IFERROR(IF(Tabla3[[#This Row],[Cilindros totales pendientes]]&gt;0,1,""),"")</f>
        <v/>
      </c>
    </row>
    <row r="2044" spans="22:22" x14ac:dyDescent="0.25">
      <c r="V2044" s="1" t="str">
        <f>+IFERROR(IF(Tabla3[[#This Row],[Cilindros totales pendientes]]&gt;0,1,""),"")</f>
        <v/>
      </c>
    </row>
    <row r="2045" spans="22:22" x14ac:dyDescent="0.25">
      <c r="V2045" s="1" t="str">
        <f>+IFERROR(IF(Tabla3[[#This Row],[Cilindros totales pendientes]]&gt;0,1,""),"")</f>
        <v/>
      </c>
    </row>
    <row r="2046" spans="22:22" x14ac:dyDescent="0.25">
      <c r="V2046" s="1" t="str">
        <f>+IFERROR(IF(Tabla3[[#This Row],[Cilindros totales pendientes]]&gt;0,1,""),"")</f>
        <v/>
      </c>
    </row>
    <row r="2047" spans="22:22" x14ac:dyDescent="0.25">
      <c r="V2047" s="1" t="str">
        <f>+IFERROR(IF(Tabla3[[#This Row],[Cilindros totales pendientes]]&gt;0,1,""),"")</f>
        <v/>
      </c>
    </row>
    <row r="2048" spans="22:22" x14ac:dyDescent="0.25">
      <c r="V2048" s="1" t="str">
        <f>+IFERROR(IF(Tabla3[[#This Row],[Cilindros totales pendientes]]&gt;0,1,""),"")</f>
        <v/>
      </c>
    </row>
    <row r="2049" spans="22:22" x14ac:dyDescent="0.25">
      <c r="V2049" s="1" t="str">
        <f>+IFERROR(IF(Tabla3[[#This Row],[Cilindros totales pendientes]]&gt;0,1,""),"")</f>
        <v/>
      </c>
    </row>
    <row r="2050" spans="22:22" x14ac:dyDescent="0.25">
      <c r="V2050" s="1" t="str">
        <f>+IFERROR(IF(Tabla3[[#This Row],[Cilindros totales pendientes]]&gt;0,1,""),"")</f>
        <v/>
      </c>
    </row>
    <row r="2051" spans="22:22" x14ac:dyDescent="0.25">
      <c r="V2051" s="1" t="str">
        <f>+IFERROR(IF(Tabla3[[#This Row],[Cilindros totales pendientes]]&gt;0,1,""),"")</f>
        <v/>
      </c>
    </row>
    <row r="2052" spans="22:22" x14ac:dyDescent="0.25">
      <c r="V2052" s="1" t="str">
        <f>+IFERROR(IF(Tabla3[[#This Row],[Cilindros totales pendientes]]&gt;0,1,""),"")</f>
        <v/>
      </c>
    </row>
    <row r="2053" spans="22:22" x14ac:dyDescent="0.25">
      <c r="V2053" s="1" t="str">
        <f>+IFERROR(IF(Tabla3[[#This Row],[Cilindros totales pendientes]]&gt;0,1,""),"")</f>
        <v/>
      </c>
    </row>
    <row r="2054" spans="22:22" x14ac:dyDescent="0.25">
      <c r="V2054" s="1" t="str">
        <f>+IFERROR(IF(Tabla3[[#This Row],[Cilindros totales pendientes]]&gt;0,1,""),"")</f>
        <v/>
      </c>
    </row>
    <row r="2055" spans="22:22" x14ac:dyDescent="0.25">
      <c r="V2055" s="1" t="str">
        <f>+IFERROR(IF(Tabla3[[#This Row],[Cilindros totales pendientes]]&gt;0,1,""),"")</f>
        <v/>
      </c>
    </row>
    <row r="2056" spans="22:22" x14ac:dyDescent="0.25">
      <c r="V2056" s="1" t="str">
        <f>+IFERROR(IF(Tabla3[[#This Row],[Cilindros totales pendientes]]&gt;0,1,""),"")</f>
        <v/>
      </c>
    </row>
    <row r="2057" spans="22:22" x14ac:dyDescent="0.25">
      <c r="V2057" s="1" t="str">
        <f>+IFERROR(IF(Tabla3[[#This Row],[Cilindros totales pendientes]]&gt;0,1,""),"")</f>
        <v/>
      </c>
    </row>
    <row r="2058" spans="22:22" x14ac:dyDescent="0.25">
      <c r="V2058" s="1" t="str">
        <f>+IFERROR(IF(Tabla3[[#This Row],[Cilindros totales pendientes]]&gt;0,1,""),"")</f>
        <v/>
      </c>
    </row>
    <row r="2059" spans="22:22" x14ac:dyDescent="0.25">
      <c r="V2059" s="1" t="str">
        <f>+IFERROR(IF(Tabla3[[#This Row],[Cilindros totales pendientes]]&gt;0,1,""),"")</f>
        <v/>
      </c>
    </row>
    <row r="2060" spans="22:22" x14ac:dyDescent="0.25">
      <c r="V2060" s="1" t="str">
        <f>+IFERROR(IF(Tabla3[[#This Row],[Cilindros totales pendientes]]&gt;0,1,""),"")</f>
        <v/>
      </c>
    </row>
    <row r="2061" spans="22:22" x14ac:dyDescent="0.25">
      <c r="V2061" s="1" t="str">
        <f>+IFERROR(IF(Tabla3[[#This Row],[Cilindros totales pendientes]]&gt;0,1,""),"")</f>
        <v/>
      </c>
    </row>
    <row r="2062" spans="22:22" x14ac:dyDescent="0.25">
      <c r="V2062" s="1" t="str">
        <f>+IFERROR(IF(Tabla3[[#This Row],[Cilindros totales pendientes]]&gt;0,1,""),"")</f>
        <v/>
      </c>
    </row>
    <row r="2063" spans="22:22" x14ac:dyDescent="0.25">
      <c r="V2063" s="1" t="str">
        <f>+IFERROR(IF(Tabla3[[#This Row],[Cilindros totales pendientes]]&gt;0,1,""),"")</f>
        <v/>
      </c>
    </row>
    <row r="2064" spans="22:22" x14ac:dyDescent="0.25">
      <c r="V2064" s="1" t="str">
        <f>+IFERROR(IF(Tabla3[[#This Row],[Cilindros totales pendientes]]&gt;0,1,""),"")</f>
        <v/>
      </c>
    </row>
    <row r="2065" spans="22:22" x14ac:dyDescent="0.25">
      <c r="V2065" s="1" t="str">
        <f>+IFERROR(IF(Tabla3[[#This Row],[Cilindros totales pendientes]]&gt;0,1,""),"")</f>
        <v/>
      </c>
    </row>
    <row r="2066" spans="22:22" x14ac:dyDescent="0.25">
      <c r="V2066" s="1" t="str">
        <f>+IFERROR(IF(Tabla3[[#This Row],[Cilindros totales pendientes]]&gt;0,1,""),"")</f>
        <v/>
      </c>
    </row>
    <row r="2067" spans="22:22" x14ac:dyDescent="0.25">
      <c r="V2067" s="1" t="str">
        <f>+IFERROR(IF(Tabla3[[#This Row],[Cilindros totales pendientes]]&gt;0,1,""),"")</f>
        <v/>
      </c>
    </row>
    <row r="2068" spans="22:22" x14ac:dyDescent="0.25">
      <c r="V2068" s="1" t="str">
        <f>+IFERROR(IF(Tabla3[[#This Row],[Cilindros totales pendientes]]&gt;0,1,""),"")</f>
        <v/>
      </c>
    </row>
    <row r="2069" spans="22:22" x14ac:dyDescent="0.25">
      <c r="V2069" s="1" t="str">
        <f>+IFERROR(IF(Tabla3[[#This Row],[Cilindros totales pendientes]]&gt;0,1,""),"")</f>
        <v/>
      </c>
    </row>
    <row r="2070" spans="22:22" x14ac:dyDescent="0.25">
      <c r="V2070" s="1" t="str">
        <f>+IFERROR(IF(Tabla3[[#This Row],[Cilindros totales pendientes]]&gt;0,1,""),"")</f>
        <v/>
      </c>
    </row>
    <row r="2071" spans="22:22" x14ac:dyDescent="0.25">
      <c r="V2071" s="1" t="str">
        <f>+IFERROR(IF(Tabla3[[#This Row],[Cilindros totales pendientes]]&gt;0,1,""),"")</f>
        <v/>
      </c>
    </row>
    <row r="2072" spans="22:22" x14ac:dyDescent="0.25">
      <c r="V2072" s="1" t="str">
        <f>+IFERROR(IF(Tabla3[[#This Row],[Cilindros totales pendientes]]&gt;0,1,""),"")</f>
        <v/>
      </c>
    </row>
    <row r="2073" spans="22:22" x14ac:dyDescent="0.25">
      <c r="V2073" s="1" t="str">
        <f>+IFERROR(IF(Tabla3[[#This Row],[Cilindros totales pendientes]]&gt;0,1,""),"")</f>
        <v/>
      </c>
    </row>
    <row r="2074" spans="22:22" x14ac:dyDescent="0.25">
      <c r="V2074" s="1" t="str">
        <f>+IFERROR(IF(Tabla3[[#This Row],[Cilindros totales pendientes]]&gt;0,1,""),"")</f>
        <v/>
      </c>
    </row>
    <row r="2075" spans="22:22" x14ac:dyDescent="0.25">
      <c r="V2075" s="1" t="str">
        <f>+IFERROR(IF(Tabla3[[#This Row],[Cilindros totales pendientes]]&gt;0,1,""),"")</f>
        <v/>
      </c>
    </row>
    <row r="2076" spans="22:22" x14ac:dyDescent="0.25">
      <c r="V2076" s="1" t="str">
        <f>+IFERROR(IF(Tabla3[[#This Row],[Cilindros totales pendientes]]&gt;0,1,""),"")</f>
        <v/>
      </c>
    </row>
    <row r="2077" spans="22:22" x14ac:dyDescent="0.25">
      <c r="V2077" s="1" t="str">
        <f>+IFERROR(IF(Tabla3[[#This Row],[Cilindros totales pendientes]]&gt;0,1,""),"")</f>
        <v/>
      </c>
    </row>
    <row r="2078" spans="22:22" x14ac:dyDescent="0.25">
      <c r="V2078" s="1" t="str">
        <f>+IFERROR(IF(Tabla3[[#This Row],[Cilindros totales pendientes]]&gt;0,1,""),"")</f>
        <v/>
      </c>
    </row>
    <row r="2079" spans="22:22" x14ac:dyDescent="0.25">
      <c r="V2079" s="1" t="str">
        <f>+IFERROR(IF(Tabla3[[#This Row],[Cilindros totales pendientes]]&gt;0,1,""),"")</f>
        <v/>
      </c>
    </row>
    <row r="2080" spans="22:22" x14ac:dyDescent="0.25">
      <c r="V2080" s="1" t="str">
        <f>+IFERROR(IF(Tabla3[[#This Row],[Cilindros totales pendientes]]&gt;0,1,""),"")</f>
        <v/>
      </c>
    </row>
    <row r="2081" spans="22:22" x14ac:dyDescent="0.25">
      <c r="V2081" s="1" t="str">
        <f>+IFERROR(IF(Tabla3[[#This Row],[Cilindros totales pendientes]]&gt;0,1,""),"")</f>
        <v/>
      </c>
    </row>
    <row r="2082" spans="22:22" x14ac:dyDescent="0.25">
      <c r="V2082" s="1" t="str">
        <f>+IFERROR(IF(Tabla3[[#This Row],[Cilindros totales pendientes]]&gt;0,1,""),"")</f>
        <v/>
      </c>
    </row>
    <row r="2083" spans="22:22" x14ac:dyDescent="0.25">
      <c r="V2083" s="1" t="str">
        <f>+IFERROR(IF(Tabla3[[#This Row],[Cilindros totales pendientes]]&gt;0,1,""),"")</f>
        <v/>
      </c>
    </row>
    <row r="2084" spans="22:22" x14ac:dyDescent="0.25">
      <c r="V2084" s="1" t="str">
        <f>+IFERROR(IF(Tabla3[[#This Row],[Cilindros totales pendientes]]&gt;0,1,""),"")</f>
        <v/>
      </c>
    </row>
    <row r="2085" spans="22:22" x14ac:dyDescent="0.25">
      <c r="V2085" s="1" t="str">
        <f>+IFERROR(IF(Tabla3[[#This Row],[Cilindros totales pendientes]]&gt;0,1,""),"")</f>
        <v/>
      </c>
    </row>
    <row r="2086" spans="22:22" x14ac:dyDescent="0.25">
      <c r="V2086" s="1" t="str">
        <f>+IFERROR(IF(Tabla3[[#This Row],[Cilindros totales pendientes]]&gt;0,1,""),"")</f>
        <v/>
      </c>
    </row>
    <row r="2087" spans="22:22" x14ac:dyDescent="0.25">
      <c r="V2087" s="1" t="str">
        <f>+IFERROR(IF(Tabla3[[#This Row],[Cilindros totales pendientes]]&gt;0,1,""),"")</f>
        <v/>
      </c>
    </row>
    <row r="2088" spans="22:22" x14ac:dyDescent="0.25">
      <c r="V2088" s="1" t="str">
        <f>+IFERROR(IF(Tabla3[[#This Row],[Cilindros totales pendientes]]&gt;0,1,""),"")</f>
        <v/>
      </c>
    </row>
    <row r="2089" spans="22:22" x14ac:dyDescent="0.25">
      <c r="V2089" s="1" t="str">
        <f>+IFERROR(IF(Tabla3[[#This Row],[Cilindros totales pendientes]]&gt;0,1,""),"")</f>
        <v/>
      </c>
    </row>
    <row r="2090" spans="22:22" x14ac:dyDescent="0.25">
      <c r="V2090" s="1" t="str">
        <f>+IFERROR(IF(Tabla3[[#This Row],[Cilindros totales pendientes]]&gt;0,1,""),"")</f>
        <v/>
      </c>
    </row>
    <row r="2091" spans="22:22" x14ac:dyDescent="0.25">
      <c r="V2091" s="1" t="str">
        <f>+IFERROR(IF(Tabla3[[#This Row],[Cilindros totales pendientes]]&gt;0,1,""),"")</f>
        <v/>
      </c>
    </row>
    <row r="2092" spans="22:22" x14ac:dyDescent="0.25">
      <c r="V2092" s="1" t="str">
        <f>+IFERROR(IF(Tabla3[[#This Row],[Cilindros totales pendientes]]&gt;0,1,""),"")</f>
        <v/>
      </c>
    </row>
    <row r="2093" spans="22:22" x14ac:dyDescent="0.25">
      <c r="V2093" s="1" t="str">
        <f>+IFERROR(IF(Tabla3[[#This Row],[Cilindros totales pendientes]]&gt;0,1,""),"")</f>
        <v/>
      </c>
    </row>
    <row r="2094" spans="22:22" x14ac:dyDescent="0.25">
      <c r="V2094" s="1" t="str">
        <f>+IFERROR(IF(Tabla3[[#This Row],[Cilindros totales pendientes]]&gt;0,1,""),"")</f>
        <v/>
      </c>
    </row>
    <row r="2095" spans="22:22" x14ac:dyDescent="0.25">
      <c r="V2095" s="1" t="str">
        <f>+IFERROR(IF(Tabla3[[#This Row],[Cilindros totales pendientes]]&gt;0,1,""),"")</f>
        <v/>
      </c>
    </row>
    <row r="2096" spans="22:22" x14ac:dyDescent="0.25">
      <c r="V2096" s="1" t="str">
        <f>+IFERROR(IF(Tabla3[[#This Row],[Cilindros totales pendientes]]&gt;0,1,""),"")</f>
        <v/>
      </c>
    </row>
    <row r="2097" spans="22:22" x14ac:dyDescent="0.25">
      <c r="V2097" s="1" t="str">
        <f>+IFERROR(IF(Tabla3[[#This Row],[Cilindros totales pendientes]]&gt;0,1,""),"")</f>
        <v/>
      </c>
    </row>
    <row r="2098" spans="22:22" x14ac:dyDescent="0.25">
      <c r="V2098" s="1" t="str">
        <f>+IFERROR(IF(Tabla3[[#This Row],[Cilindros totales pendientes]]&gt;0,1,""),"")</f>
        <v/>
      </c>
    </row>
    <row r="2099" spans="22:22" x14ac:dyDescent="0.25">
      <c r="V2099" s="1" t="str">
        <f>+IFERROR(IF(Tabla3[[#This Row],[Cilindros totales pendientes]]&gt;0,1,""),"")</f>
        <v/>
      </c>
    </row>
    <row r="2100" spans="22:22" x14ac:dyDescent="0.25">
      <c r="V2100" s="1" t="str">
        <f>+IFERROR(IF(Tabla3[[#This Row],[Cilindros totales pendientes]]&gt;0,1,""),"")</f>
        <v/>
      </c>
    </row>
    <row r="2101" spans="22:22" x14ac:dyDescent="0.25">
      <c r="V2101" s="1" t="str">
        <f>+IFERROR(IF(Tabla3[[#This Row],[Cilindros totales pendientes]]&gt;0,1,""),"")</f>
        <v/>
      </c>
    </row>
    <row r="2102" spans="22:22" x14ac:dyDescent="0.25">
      <c r="V2102" s="1" t="str">
        <f>+IFERROR(IF(Tabla3[[#This Row],[Cilindros totales pendientes]]&gt;0,1,""),"")</f>
        <v/>
      </c>
    </row>
    <row r="2103" spans="22:22" x14ac:dyDescent="0.25">
      <c r="V2103" s="1" t="str">
        <f>+IFERROR(IF(Tabla3[[#This Row],[Cilindros totales pendientes]]&gt;0,1,""),"")</f>
        <v/>
      </c>
    </row>
    <row r="2104" spans="22:22" x14ac:dyDescent="0.25">
      <c r="V2104" s="1" t="str">
        <f>+IFERROR(IF(Tabla3[[#This Row],[Cilindros totales pendientes]]&gt;0,1,""),"")</f>
        <v/>
      </c>
    </row>
    <row r="2105" spans="22:22" x14ac:dyDescent="0.25">
      <c r="V2105" s="1" t="str">
        <f>+IFERROR(IF(Tabla3[[#This Row],[Cilindros totales pendientes]]&gt;0,1,""),"")</f>
        <v/>
      </c>
    </row>
    <row r="2106" spans="22:22" x14ac:dyDescent="0.25">
      <c r="V2106" s="1" t="str">
        <f>+IFERROR(IF(Tabla3[[#This Row],[Cilindros totales pendientes]]&gt;0,1,""),"")</f>
        <v/>
      </c>
    </row>
    <row r="2107" spans="22:22" x14ac:dyDescent="0.25">
      <c r="V2107" s="1" t="str">
        <f>+IFERROR(IF(Tabla3[[#This Row],[Cilindros totales pendientes]]&gt;0,1,""),"")</f>
        <v/>
      </c>
    </row>
    <row r="2108" spans="22:22" x14ac:dyDescent="0.25">
      <c r="V2108" s="1" t="str">
        <f>+IFERROR(IF(Tabla3[[#This Row],[Cilindros totales pendientes]]&gt;0,1,""),"")</f>
        <v/>
      </c>
    </row>
    <row r="2109" spans="22:22" x14ac:dyDescent="0.25">
      <c r="V2109" s="1" t="str">
        <f>+IFERROR(IF(Tabla3[[#This Row],[Cilindros totales pendientes]]&gt;0,1,""),"")</f>
        <v/>
      </c>
    </row>
    <row r="2110" spans="22:22" x14ac:dyDescent="0.25">
      <c r="V2110" s="1" t="str">
        <f>+IFERROR(IF(Tabla3[[#This Row],[Cilindros totales pendientes]]&gt;0,1,""),"")</f>
        <v/>
      </c>
    </row>
    <row r="2111" spans="22:22" x14ac:dyDescent="0.25">
      <c r="V2111" s="1" t="str">
        <f>+IFERROR(IF(Tabla3[[#This Row],[Cilindros totales pendientes]]&gt;0,1,""),"")</f>
        <v/>
      </c>
    </row>
    <row r="2112" spans="22:22" x14ac:dyDescent="0.25">
      <c r="V2112" s="1" t="str">
        <f>+IFERROR(IF(Tabla3[[#This Row],[Cilindros totales pendientes]]&gt;0,1,""),"")</f>
        <v/>
      </c>
    </row>
    <row r="2113" spans="22:22" x14ac:dyDescent="0.25">
      <c r="V2113" s="1" t="str">
        <f>+IFERROR(IF(Tabla3[[#This Row],[Cilindros totales pendientes]]&gt;0,1,""),"")</f>
        <v/>
      </c>
    </row>
    <row r="2114" spans="22:22" x14ac:dyDescent="0.25">
      <c r="V2114" s="1" t="str">
        <f>+IFERROR(IF(Tabla3[[#This Row],[Cilindros totales pendientes]]&gt;0,1,""),"")</f>
        <v/>
      </c>
    </row>
    <row r="2115" spans="22:22" x14ac:dyDescent="0.25">
      <c r="V2115" s="1" t="str">
        <f>+IFERROR(IF(Tabla3[[#This Row],[Cilindros totales pendientes]]&gt;0,1,""),"")</f>
        <v/>
      </c>
    </row>
    <row r="2116" spans="22:22" x14ac:dyDescent="0.25">
      <c r="V2116" s="1" t="str">
        <f>+IFERROR(IF(Tabla3[[#This Row],[Cilindros totales pendientes]]&gt;0,1,""),"")</f>
        <v/>
      </c>
    </row>
    <row r="2117" spans="22:22" x14ac:dyDescent="0.25">
      <c r="V2117" s="1" t="str">
        <f>+IFERROR(IF(Tabla3[[#This Row],[Cilindros totales pendientes]]&gt;0,1,""),"")</f>
        <v/>
      </c>
    </row>
    <row r="2118" spans="22:22" x14ac:dyDescent="0.25">
      <c r="V2118" s="1" t="str">
        <f>+IFERROR(IF(Tabla3[[#This Row],[Cilindros totales pendientes]]&gt;0,1,""),"")</f>
        <v/>
      </c>
    </row>
    <row r="2119" spans="22:22" x14ac:dyDescent="0.25">
      <c r="V2119" s="1" t="str">
        <f>+IFERROR(IF(Tabla3[[#This Row],[Cilindros totales pendientes]]&gt;0,1,""),"")</f>
        <v/>
      </c>
    </row>
    <row r="2120" spans="22:22" x14ac:dyDescent="0.25">
      <c r="V2120" s="1" t="str">
        <f>+IFERROR(IF(Tabla3[[#This Row],[Cilindros totales pendientes]]&gt;0,1,""),"")</f>
        <v/>
      </c>
    </row>
    <row r="2121" spans="22:22" x14ac:dyDescent="0.25">
      <c r="V2121" s="1" t="str">
        <f>+IFERROR(IF(Tabla3[[#This Row],[Cilindros totales pendientes]]&gt;0,1,""),"")</f>
        <v/>
      </c>
    </row>
    <row r="2122" spans="22:22" x14ac:dyDescent="0.25">
      <c r="V2122" s="1" t="str">
        <f>+IFERROR(IF(Tabla3[[#This Row],[Cilindros totales pendientes]]&gt;0,1,""),"")</f>
        <v/>
      </c>
    </row>
    <row r="2123" spans="22:22" x14ac:dyDescent="0.25">
      <c r="V2123" s="1" t="str">
        <f>+IFERROR(IF(Tabla3[[#This Row],[Cilindros totales pendientes]]&gt;0,1,""),"")</f>
        <v/>
      </c>
    </row>
    <row r="2124" spans="22:22" x14ac:dyDescent="0.25">
      <c r="V2124" s="1" t="str">
        <f>+IFERROR(IF(Tabla3[[#This Row],[Cilindros totales pendientes]]&gt;0,1,""),"")</f>
        <v/>
      </c>
    </row>
    <row r="2125" spans="22:22" x14ac:dyDescent="0.25">
      <c r="V2125" s="1" t="str">
        <f>+IFERROR(IF(Tabla3[[#This Row],[Cilindros totales pendientes]]&gt;0,1,""),"")</f>
        <v/>
      </c>
    </row>
    <row r="2126" spans="22:22" x14ac:dyDescent="0.25">
      <c r="V2126" s="1" t="str">
        <f>+IFERROR(IF(Tabla3[[#This Row],[Cilindros totales pendientes]]&gt;0,1,""),"")</f>
        <v/>
      </c>
    </row>
    <row r="2127" spans="22:22" x14ac:dyDescent="0.25">
      <c r="V2127" s="1" t="str">
        <f>+IFERROR(IF(Tabla3[[#This Row],[Cilindros totales pendientes]]&gt;0,1,""),"")</f>
        <v/>
      </c>
    </row>
    <row r="2128" spans="22:22" x14ac:dyDescent="0.25">
      <c r="V2128" s="1" t="str">
        <f>+IFERROR(IF(Tabla3[[#This Row],[Cilindros totales pendientes]]&gt;0,1,""),"")</f>
        <v/>
      </c>
    </row>
    <row r="2129" spans="22:22" x14ac:dyDescent="0.25">
      <c r="V2129" s="1" t="str">
        <f>+IFERROR(IF(Tabla3[[#This Row],[Cilindros totales pendientes]]&gt;0,1,""),"")</f>
        <v/>
      </c>
    </row>
    <row r="2130" spans="22:22" x14ac:dyDescent="0.25">
      <c r="V2130" s="1" t="str">
        <f>+IFERROR(IF(Tabla3[[#This Row],[Cilindros totales pendientes]]&gt;0,1,""),"")</f>
        <v/>
      </c>
    </row>
    <row r="2131" spans="22:22" x14ac:dyDescent="0.25">
      <c r="V2131" s="1" t="str">
        <f>+IFERROR(IF(Tabla3[[#This Row],[Cilindros totales pendientes]]&gt;0,1,""),"")</f>
        <v/>
      </c>
    </row>
    <row r="2132" spans="22:22" x14ac:dyDescent="0.25">
      <c r="V2132" s="1" t="str">
        <f>+IFERROR(IF(Tabla3[[#This Row],[Cilindros totales pendientes]]&gt;0,1,""),"")</f>
        <v/>
      </c>
    </row>
    <row r="2133" spans="22:22" x14ac:dyDescent="0.25">
      <c r="V2133" s="1" t="str">
        <f>+IFERROR(IF(Tabla3[[#This Row],[Cilindros totales pendientes]]&gt;0,1,""),"")</f>
        <v/>
      </c>
    </row>
    <row r="2134" spans="22:22" x14ac:dyDescent="0.25">
      <c r="V2134" s="1" t="str">
        <f>+IFERROR(IF(Tabla3[[#This Row],[Cilindros totales pendientes]]&gt;0,1,""),"")</f>
        <v/>
      </c>
    </row>
    <row r="2135" spans="22:22" x14ac:dyDescent="0.25">
      <c r="V2135" s="1" t="str">
        <f>+IFERROR(IF(Tabla3[[#This Row],[Cilindros totales pendientes]]&gt;0,1,""),"")</f>
        <v/>
      </c>
    </row>
    <row r="2136" spans="22:22" x14ac:dyDescent="0.25">
      <c r="V2136" s="1" t="str">
        <f>+IFERROR(IF(Tabla3[[#This Row],[Cilindros totales pendientes]]&gt;0,1,""),"")</f>
        <v/>
      </c>
    </row>
    <row r="2137" spans="22:22" x14ac:dyDescent="0.25">
      <c r="V2137" s="1" t="str">
        <f>+IFERROR(IF(Tabla3[[#This Row],[Cilindros totales pendientes]]&gt;0,1,""),"")</f>
        <v/>
      </c>
    </row>
    <row r="2138" spans="22:22" x14ac:dyDescent="0.25">
      <c r="V2138" s="1" t="str">
        <f>+IFERROR(IF(Tabla3[[#This Row],[Cilindros totales pendientes]]&gt;0,1,""),"")</f>
        <v/>
      </c>
    </row>
    <row r="2139" spans="22:22" x14ac:dyDescent="0.25">
      <c r="V2139" s="1" t="str">
        <f>+IFERROR(IF(Tabla3[[#This Row],[Cilindros totales pendientes]]&gt;0,1,""),"")</f>
        <v/>
      </c>
    </row>
    <row r="2140" spans="22:22" x14ac:dyDescent="0.25">
      <c r="V2140" s="1" t="str">
        <f>+IFERROR(IF(Tabla3[[#This Row],[Cilindros totales pendientes]]&gt;0,1,""),"")</f>
        <v/>
      </c>
    </row>
    <row r="2141" spans="22:22" x14ac:dyDescent="0.25">
      <c r="V2141" s="1" t="str">
        <f>+IFERROR(IF(Tabla3[[#This Row],[Cilindros totales pendientes]]&gt;0,1,""),"")</f>
        <v/>
      </c>
    </row>
    <row r="2142" spans="22:22" x14ac:dyDescent="0.25">
      <c r="V2142" s="1" t="str">
        <f>+IFERROR(IF(Tabla3[[#This Row],[Cilindros totales pendientes]]&gt;0,1,""),"")</f>
        <v/>
      </c>
    </row>
    <row r="2143" spans="22:22" x14ac:dyDescent="0.25">
      <c r="V2143" s="1" t="str">
        <f>+IFERROR(IF(Tabla3[[#This Row],[Cilindros totales pendientes]]&gt;0,1,""),"")</f>
        <v/>
      </c>
    </row>
    <row r="2144" spans="22:22" x14ac:dyDescent="0.25">
      <c r="V2144" s="1" t="str">
        <f>+IFERROR(IF(Tabla3[[#This Row],[Cilindros totales pendientes]]&gt;0,1,""),"")</f>
        <v/>
      </c>
    </row>
    <row r="2145" spans="22:22" x14ac:dyDescent="0.25">
      <c r="V2145" s="1" t="str">
        <f>+IFERROR(IF(Tabla3[[#This Row],[Cilindros totales pendientes]]&gt;0,1,""),"")</f>
        <v/>
      </c>
    </row>
    <row r="2146" spans="22:22" x14ac:dyDescent="0.25">
      <c r="V2146" s="1" t="str">
        <f>+IFERROR(IF(Tabla3[[#This Row],[Cilindros totales pendientes]]&gt;0,1,""),"")</f>
        <v/>
      </c>
    </row>
    <row r="2147" spans="22:22" x14ac:dyDescent="0.25">
      <c r="V2147" s="1" t="str">
        <f>+IFERROR(IF(Tabla3[[#This Row],[Cilindros totales pendientes]]&gt;0,1,""),"")</f>
        <v/>
      </c>
    </row>
    <row r="2148" spans="22:22" x14ac:dyDescent="0.25">
      <c r="V2148" s="1" t="str">
        <f>+IFERROR(IF(Tabla3[[#This Row],[Cilindros totales pendientes]]&gt;0,1,""),"")</f>
        <v/>
      </c>
    </row>
    <row r="2149" spans="22:22" x14ac:dyDescent="0.25">
      <c r="V2149" s="1" t="str">
        <f>+IFERROR(IF(Tabla3[[#This Row],[Cilindros totales pendientes]]&gt;0,1,""),"")</f>
        <v/>
      </c>
    </row>
    <row r="2150" spans="22:22" x14ac:dyDescent="0.25">
      <c r="V2150" s="1" t="str">
        <f>+IFERROR(IF(Tabla3[[#This Row],[Cilindros totales pendientes]]&gt;0,1,""),"")</f>
        <v/>
      </c>
    </row>
    <row r="2151" spans="22:22" x14ac:dyDescent="0.25">
      <c r="V2151" s="1" t="str">
        <f>+IFERROR(IF(Tabla3[[#This Row],[Cilindros totales pendientes]]&gt;0,1,""),"")</f>
        <v/>
      </c>
    </row>
    <row r="2152" spans="22:22" x14ac:dyDescent="0.25">
      <c r="V2152" s="1" t="str">
        <f>+IFERROR(IF(Tabla3[[#This Row],[Cilindros totales pendientes]]&gt;0,1,""),"")</f>
        <v/>
      </c>
    </row>
    <row r="2153" spans="22:22" x14ac:dyDescent="0.25">
      <c r="V2153" s="1" t="str">
        <f>+IFERROR(IF(Tabla3[[#This Row],[Cilindros totales pendientes]]&gt;0,1,""),"")</f>
        <v/>
      </c>
    </row>
    <row r="2154" spans="22:22" x14ac:dyDescent="0.25">
      <c r="V2154" s="1" t="str">
        <f>+IFERROR(IF(Tabla3[[#This Row],[Cilindros totales pendientes]]&gt;0,1,""),"")</f>
        <v/>
      </c>
    </row>
    <row r="2155" spans="22:22" x14ac:dyDescent="0.25">
      <c r="V2155" s="1" t="str">
        <f>+IFERROR(IF(Tabla3[[#This Row],[Cilindros totales pendientes]]&gt;0,1,""),"")</f>
        <v/>
      </c>
    </row>
    <row r="2156" spans="22:22" x14ac:dyDescent="0.25">
      <c r="V2156" s="1" t="str">
        <f>+IFERROR(IF(Tabla3[[#This Row],[Cilindros totales pendientes]]&gt;0,1,""),"")</f>
        <v/>
      </c>
    </row>
    <row r="2157" spans="22:22" x14ac:dyDescent="0.25">
      <c r="V2157" s="1" t="str">
        <f>+IFERROR(IF(Tabla3[[#This Row],[Cilindros totales pendientes]]&gt;0,1,""),"")</f>
        <v/>
      </c>
    </row>
    <row r="2158" spans="22:22" x14ac:dyDescent="0.25">
      <c r="V2158" s="1" t="str">
        <f>+IFERROR(IF(Tabla3[[#This Row],[Cilindros totales pendientes]]&gt;0,1,""),"")</f>
        <v/>
      </c>
    </row>
    <row r="2159" spans="22:22" x14ac:dyDescent="0.25">
      <c r="V2159" s="1" t="str">
        <f>+IFERROR(IF(Tabla3[[#This Row],[Cilindros totales pendientes]]&gt;0,1,""),"")</f>
        <v/>
      </c>
    </row>
    <row r="2160" spans="22:22" x14ac:dyDescent="0.25">
      <c r="V2160" s="1" t="str">
        <f>+IFERROR(IF(Tabla3[[#This Row],[Cilindros totales pendientes]]&gt;0,1,""),"")</f>
        <v/>
      </c>
    </row>
    <row r="2161" spans="22:22" x14ac:dyDescent="0.25">
      <c r="V2161" s="1" t="str">
        <f>+IFERROR(IF(Tabla3[[#This Row],[Cilindros totales pendientes]]&gt;0,1,""),"")</f>
        <v/>
      </c>
    </row>
    <row r="2162" spans="22:22" x14ac:dyDescent="0.25">
      <c r="V2162" s="1" t="str">
        <f>+IFERROR(IF(Tabla3[[#This Row],[Cilindros totales pendientes]]&gt;0,1,""),"")</f>
        <v/>
      </c>
    </row>
    <row r="2163" spans="22:22" x14ac:dyDescent="0.25">
      <c r="V2163" s="1" t="str">
        <f>+IFERROR(IF(Tabla3[[#This Row],[Cilindros totales pendientes]]&gt;0,1,""),"")</f>
        <v/>
      </c>
    </row>
    <row r="2164" spans="22:22" x14ac:dyDescent="0.25">
      <c r="V2164" s="1" t="str">
        <f>+IFERROR(IF(Tabla3[[#This Row],[Cilindros totales pendientes]]&gt;0,1,""),"")</f>
        <v/>
      </c>
    </row>
    <row r="2165" spans="22:22" x14ac:dyDescent="0.25">
      <c r="V2165" s="1" t="str">
        <f>+IFERROR(IF(Tabla3[[#This Row],[Cilindros totales pendientes]]&gt;0,1,""),"")</f>
        <v/>
      </c>
    </row>
    <row r="2166" spans="22:22" x14ac:dyDescent="0.25">
      <c r="V2166" s="1" t="str">
        <f>+IFERROR(IF(Tabla3[[#This Row],[Cilindros totales pendientes]]&gt;0,1,""),"")</f>
        <v/>
      </c>
    </row>
    <row r="2167" spans="22:22" x14ac:dyDescent="0.25">
      <c r="V2167" s="1" t="str">
        <f>+IFERROR(IF(Tabla3[[#This Row],[Cilindros totales pendientes]]&gt;0,1,""),"")</f>
        <v/>
      </c>
    </row>
    <row r="2168" spans="22:22" x14ac:dyDescent="0.25">
      <c r="V2168" s="1" t="str">
        <f>+IFERROR(IF(Tabla3[[#This Row],[Cilindros totales pendientes]]&gt;0,1,""),"")</f>
        <v/>
      </c>
    </row>
    <row r="2169" spans="22:22" x14ac:dyDescent="0.25">
      <c r="V2169" s="1" t="str">
        <f>+IFERROR(IF(Tabla3[[#This Row],[Cilindros totales pendientes]]&gt;0,1,""),"")</f>
        <v/>
      </c>
    </row>
    <row r="2170" spans="22:22" x14ac:dyDescent="0.25">
      <c r="V2170" s="1" t="str">
        <f>+IFERROR(IF(Tabla3[[#This Row],[Cilindros totales pendientes]]&gt;0,1,""),"")</f>
        <v/>
      </c>
    </row>
    <row r="2171" spans="22:22" x14ac:dyDescent="0.25">
      <c r="V2171" s="1" t="str">
        <f>+IFERROR(IF(Tabla3[[#This Row],[Cilindros totales pendientes]]&gt;0,1,""),"")</f>
        <v/>
      </c>
    </row>
    <row r="2172" spans="22:22" x14ac:dyDescent="0.25">
      <c r="V2172" s="1" t="str">
        <f>+IFERROR(IF(Tabla3[[#This Row],[Cilindros totales pendientes]]&gt;0,1,""),"")</f>
        <v/>
      </c>
    </row>
    <row r="2173" spans="22:22" x14ac:dyDescent="0.25">
      <c r="V2173" s="1" t="str">
        <f>+IFERROR(IF(Tabla3[[#This Row],[Cilindros totales pendientes]]&gt;0,1,""),"")</f>
        <v/>
      </c>
    </row>
    <row r="2174" spans="22:22" x14ac:dyDescent="0.25">
      <c r="V2174" s="1" t="str">
        <f>+IFERROR(IF(Tabla3[[#This Row],[Cilindros totales pendientes]]&gt;0,1,""),"")</f>
        <v/>
      </c>
    </row>
    <row r="2175" spans="22:22" x14ac:dyDescent="0.25">
      <c r="V2175" s="1" t="str">
        <f>+IFERROR(IF(Tabla3[[#This Row],[Cilindros totales pendientes]]&gt;0,1,""),"")</f>
        <v/>
      </c>
    </row>
    <row r="2176" spans="22:22" x14ac:dyDescent="0.25">
      <c r="V2176" s="1" t="str">
        <f>+IFERROR(IF(Tabla3[[#This Row],[Cilindros totales pendientes]]&gt;0,1,""),"")</f>
        <v/>
      </c>
    </row>
    <row r="2177" spans="22:22" x14ac:dyDescent="0.25">
      <c r="V2177" s="1" t="str">
        <f>+IFERROR(IF(Tabla3[[#This Row],[Cilindros totales pendientes]]&gt;0,1,""),"")</f>
        <v/>
      </c>
    </row>
    <row r="2178" spans="22:22" x14ac:dyDescent="0.25">
      <c r="V2178" s="1" t="str">
        <f>+IFERROR(IF(Tabla3[[#This Row],[Cilindros totales pendientes]]&gt;0,1,""),"")</f>
        <v/>
      </c>
    </row>
    <row r="2179" spans="22:22" x14ac:dyDescent="0.25">
      <c r="V2179" s="1" t="str">
        <f>+IFERROR(IF(Tabla3[[#This Row],[Cilindros totales pendientes]]&gt;0,1,""),"")</f>
        <v/>
      </c>
    </row>
    <row r="2180" spans="22:22" x14ac:dyDescent="0.25">
      <c r="V2180" s="1" t="str">
        <f>+IFERROR(IF(Tabla3[[#This Row],[Cilindros totales pendientes]]&gt;0,1,""),"")</f>
        <v/>
      </c>
    </row>
    <row r="2181" spans="22:22" x14ac:dyDescent="0.25">
      <c r="V2181" s="1" t="str">
        <f>+IFERROR(IF(Tabla3[[#This Row],[Cilindros totales pendientes]]&gt;0,1,""),"")</f>
        <v/>
      </c>
    </row>
    <row r="2182" spans="22:22" x14ac:dyDescent="0.25">
      <c r="V2182" s="1" t="str">
        <f>+IFERROR(IF(Tabla3[[#This Row],[Cilindros totales pendientes]]&gt;0,1,""),"")</f>
        <v/>
      </c>
    </row>
    <row r="2183" spans="22:22" x14ac:dyDescent="0.25">
      <c r="V2183" s="1" t="str">
        <f>+IFERROR(IF(Tabla3[[#This Row],[Cilindros totales pendientes]]&gt;0,1,""),"")</f>
        <v/>
      </c>
    </row>
    <row r="2184" spans="22:22" x14ac:dyDescent="0.25">
      <c r="V2184" s="1" t="str">
        <f>+IFERROR(IF(Tabla3[[#This Row],[Cilindros totales pendientes]]&gt;0,1,""),"")</f>
        <v/>
      </c>
    </row>
    <row r="2185" spans="22:22" x14ac:dyDescent="0.25">
      <c r="V2185" s="1" t="str">
        <f>+IFERROR(IF(Tabla3[[#This Row],[Cilindros totales pendientes]]&gt;0,1,""),"")</f>
        <v/>
      </c>
    </row>
    <row r="2186" spans="22:22" x14ac:dyDescent="0.25">
      <c r="V2186" s="1" t="str">
        <f>+IFERROR(IF(Tabla3[[#This Row],[Cilindros totales pendientes]]&gt;0,1,""),"")</f>
        <v/>
      </c>
    </row>
    <row r="2187" spans="22:22" x14ac:dyDescent="0.25">
      <c r="V2187" s="1" t="str">
        <f>+IFERROR(IF(Tabla3[[#This Row],[Cilindros totales pendientes]]&gt;0,1,""),"")</f>
        <v/>
      </c>
    </row>
    <row r="2188" spans="22:22" x14ac:dyDescent="0.25">
      <c r="V2188" s="1" t="str">
        <f>+IFERROR(IF(Tabla3[[#This Row],[Cilindros totales pendientes]]&gt;0,1,""),"")</f>
        <v/>
      </c>
    </row>
    <row r="2189" spans="22:22" x14ac:dyDescent="0.25">
      <c r="V2189" s="1" t="str">
        <f>+IFERROR(IF(Tabla3[[#This Row],[Cilindros totales pendientes]]&gt;0,1,""),"")</f>
        <v/>
      </c>
    </row>
    <row r="2190" spans="22:22" x14ac:dyDescent="0.25">
      <c r="V2190" s="1" t="str">
        <f>+IFERROR(IF(Tabla3[[#This Row],[Cilindros totales pendientes]]&gt;0,1,""),"")</f>
        <v/>
      </c>
    </row>
    <row r="2191" spans="22:22" x14ac:dyDescent="0.25">
      <c r="V2191" s="1" t="str">
        <f>+IFERROR(IF(Tabla3[[#This Row],[Cilindros totales pendientes]]&gt;0,1,""),"")</f>
        <v/>
      </c>
    </row>
    <row r="2192" spans="22:22" x14ac:dyDescent="0.25">
      <c r="V2192" s="1" t="str">
        <f>+IFERROR(IF(Tabla3[[#This Row],[Cilindros totales pendientes]]&gt;0,1,""),"")</f>
        <v/>
      </c>
    </row>
    <row r="2193" spans="22:22" x14ac:dyDescent="0.25">
      <c r="V2193" s="1" t="str">
        <f>+IFERROR(IF(Tabla3[[#This Row],[Cilindros totales pendientes]]&gt;0,1,""),"")</f>
        <v/>
      </c>
    </row>
    <row r="2194" spans="22:22" x14ac:dyDescent="0.25">
      <c r="V2194" s="1" t="str">
        <f>+IFERROR(IF(Tabla3[[#This Row],[Cilindros totales pendientes]]&gt;0,1,""),"")</f>
        <v/>
      </c>
    </row>
    <row r="2195" spans="22:22" x14ac:dyDescent="0.25">
      <c r="V2195" s="1" t="str">
        <f>+IFERROR(IF(Tabla3[[#This Row],[Cilindros totales pendientes]]&gt;0,1,""),"")</f>
        <v/>
      </c>
    </row>
    <row r="2196" spans="22:22" x14ac:dyDescent="0.25">
      <c r="V2196" s="1" t="str">
        <f>+IFERROR(IF(Tabla3[[#This Row],[Cilindros totales pendientes]]&gt;0,1,""),"")</f>
        <v/>
      </c>
    </row>
    <row r="2197" spans="22:22" x14ac:dyDescent="0.25">
      <c r="V2197" s="1" t="str">
        <f>+IFERROR(IF(Tabla3[[#This Row],[Cilindros totales pendientes]]&gt;0,1,""),"")</f>
        <v/>
      </c>
    </row>
    <row r="2198" spans="22:22" x14ac:dyDescent="0.25">
      <c r="V2198" s="1" t="str">
        <f>+IFERROR(IF(Tabla3[[#This Row],[Cilindros totales pendientes]]&gt;0,1,""),"")</f>
        <v/>
      </c>
    </row>
    <row r="2199" spans="22:22" x14ac:dyDescent="0.25">
      <c r="V2199" s="1" t="str">
        <f>+IFERROR(IF(Tabla3[[#This Row],[Cilindros totales pendientes]]&gt;0,1,""),"")</f>
        <v/>
      </c>
    </row>
    <row r="2200" spans="22:22" x14ac:dyDescent="0.25">
      <c r="V2200" s="1" t="str">
        <f>+IFERROR(IF(Tabla3[[#This Row],[Cilindros totales pendientes]]&gt;0,1,""),"")</f>
        <v/>
      </c>
    </row>
    <row r="2201" spans="22:22" x14ac:dyDescent="0.25">
      <c r="V2201" s="1" t="str">
        <f>+IFERROR(IF(Tabla3[[#This Row],[Cilindros totales pendientes]]&gt;0,1,""),"")</f>
        <v/>
      </c>
    </row>
    <row r="2202" spans="22:22" x14ac:dyDescent="0.25">
      <c r="V2202" s="1" t="str">
        <f>+IFERROR(IF(Tabla3[[#This Row],[Cilindros totales pendientes]]&gt;0,1,""),"")</f>
        <v/>
      </c>
    </row>
    <row r="2203" spans="22:22" x14ac:dyDescent="0.25">
      <c r="V2203" s="1" t="str">
        <f>+IFERROR(IF(Tabla3[[#This Row],[Cilindros totales pendientes]]&gt;0,1,""),"")</f>
        <v/>
      </c>
    </row>
    <row r="2204" spans="22:22" x14ac:dyDescent="0.25">
      <c r="V2204" s="1" t="str">
        <f>+IFERROR(IF(Tabla3[[#This Row],[Cilindros totales pendientes]]&gt;0,1,""),"")</f>
        <v/>
      </c>
    </row>
    <row r="2205" spans="22:22" x14ac:dyDescent="0.25">
      <c r="V2205" s="1" t="str">
        <f>+IFERROR(IF(Tabla3[[#This Row],[Cilindros totales pendientes]]&gt;0,1,""),"")</f>
        <v/>
      </c>
    </row>
    <row r="2206" spans="22:22" x14ac:dyDescent="0.25">
      <c r="V2206" s="1" t="str">
        <f>+IFERROR(IF(Tabla3[[#This Row],[Cilindros totales pendientes]]&gt;0,1,""),"")</f>
        <v/>
      </c>
    </row>
    <row r="2207" spans="22:22" x14ac:dyDescent="0.25">
      <c r="V2207" s="1" t="str">
        <f>+IFERROR(IF(Tabla3[[#This Row],[Cilindros totales pendientes]]&gt;0,1,""),"")</f>
        <v/>
      </c>
    </row>
    <row r="2208" spans="22:22" x14ac:dyDescent="0.25">
      <c r="V2208" s="1" t="str">
        <f>+IFERROR(IF(Tabla3[[#This Row],[Cilindros totales pendientes]]&gt;0,1,""),"")</f>
        <v/>
      </c>
    </row>
    <row r="2209" spans="22:22" x14ac:dyDescent="0.25">
      <c r="V2209" s="1" t="str">
        <f>+IFERROR(IF(Tabla3[[#This Row],[Cilindros totales pendientes]]&gt;0,1,""),"")</f>
        <v/>
      </c>
    </row>
    <row r="2210" spans="22:22" x14ac:dyDescent="0.25">
      <c r="V2210" s="1" t="str">
        <f>+IFERROR(IF(Tabla3[[#This Row],[Cilindros totales pendientes]]&gt;0,1,""),"")</f>
        <v/>
      </c>
    </row>
    <row r="2211" spans="22:22" x14ac:dyDescent="0.25">
      <c r="V2211" s="1" t="str">
        <f>+IFERROR(IF(Tabla3[[#This Row],[Cilindros totales pendientes]]&gt;0,1,""),"")</f>
        <v/>
      </c>
    </row>
    <row r="2212" spans="22:22" x14ac:dyDescent="0.25">
      <c r="V2212" s="1" t="str">
        <f>+IFERROR(IF(Tabla3[[#This Row],[Cilindros totales pendientes]]&gt;0,1,""),"")</f>
        <v/>
      </c>
    </row>
    <row r="2213" spans="22:22" x14ac:dyDescent="0.25">
      <c r="V2213" s="1" t="str">
        <f>+IFERROR(IF(Tabla3[[#This Row],[Cilindros totales pendientes]]&gt;0,1,""),"")</f>
        <v/>
      </c>
    </row>
    <row r="2214" spans="22:22" x14ac:dyDescent="0.25">
      <c r="V2214" s="1" t="str">
        <f>+IFERROR(IF(Tabla3[[#This Row],[Cilindros totales pendientes]]&gt;0,1,""),"")</f>
        <v/>
      </c>
    </row>
    <row r="2215" spans="22:22" x14ac:dyDescent="0.25">
      <c r="V2215" s="1" t="str">
        <f>+IFERROR(IF(Tabla3[[#This Row],[Cilindros totales pendientes]]&gt;0,1,""),"")</f>
        <v/>
      </c>
    </row>
    <row r="2216" spans="22:22" x14ac:dyDescent="0.25">
      <c r="V2216" s="1" t="str">
        <f>+IFERROR(IF(Tabla3[[#This Row],[Cilindros totales pendientes]]&gt;0,1,""),"")</f>
        <v/>
      </c>
    </row>
    <row r="2217" spans="22:22" x14ac:dyDescent="0.25">
      <c r="V2217" s="1" t="str">
        <f>+IFERROR(IF(Tabla3[[#This Row],[Cilindros totales pendientes]]&gt;0,1,""),"")</f>
        <v/>
      </c>
    </row>
    <row r="2218" spans="22:22" x14ac:dyDescent="0.25">
      <c r="V2218" s="1" t="str">
        <f>+IFERROR(IF(Tabla3[[#This Row],[Cilindros totales pendientes]]&gt;0,1,""),"")</f>
        <v/>
      </c>
    </row>
    <row r="2219" spans="22:22" x14ac:dyDescent="0.25">
      <c r="V2219" s="1" t="str">
        <f>+IFERROR(IF(Tabla3[[#This Row],[Cilindros totales pendientes]]&gt;0,1,""),"")</f>
        <v/>
      </c>
    </row>
    <row r="2220" spans="22:22" x14ac:dyDescent="0.25">
      <c r="V2220" s="1" t="str">
        <f>+IFERROR(IF(Tabla3[[#This Row],[Cilindros totales pendientes]]&gt;0,1,""),"")</f>
        <v/>
      </c>
    </row>
    <row r="2221" spans="22:22" x14ac:dyDescent="0.25">
      <c r="V2221" s="1" t="str">
        <f>+IFERROR(IF(Tabla3[[#This Row],[Cilindros totales pendientes]]&gt;0,1,""),"")</f>
        <v/>
      </c>
    </row>
    <row r="2222" spans="22:22" x14ac:dyDescent="0.25">
      <c r="V2222" s="1" t="str">
        <f>+IFERROR(IF(Tabla3[[#This Row],[Cilindros totales pendientes]]&gt;0,1,""),"")</f>
        <v/>
      </c>
    </row>
    <row r="2223" spans="22:22" x14ac:dyDescent="0.25">
      <c r="V2223" s="1" t="str">
        <f>+IFERROR(IF(Tabla3[[#This Row],[Cilindros totales pendientes]]&gt;0,1,""),"")</f>
        <v/>
      </c>
    </row>
    <row r="2224" spans="22:22" x14ac:dyDescent="0.25">
      <c r="V2224" s="1" t="str">
        <f>+IFERROR(IF(Tabla3[[#This Row],[Cilindros totales pendientes]]&gt;0,1,""),"")</f>
        <v/>
      </c>
    </row>
    <row r="2225" spans="22:22" x14ac:dyDescent="0.25">
      <c r="V2225" s="1" t="str">
        <f>+IFERROR(IF(Tabla3[[#This Row],[Cilindros totales pendientes]]&gt;0,1,""),"")</f>
        <v/>
      </c>
    </row>
    <row r="2226" spans="22:22" x14ac:dyDescent="0.25">
      <c r="V2226" s="1" t="str">
        <f>+IFERROR(IF(Tabla3[[#This Row],[Cilindros totales pendientes]]&gt;0,1,""),"")</f>
        <v/>
      </c>
    </row>
    <row r="2227" spans="22:22" x14ac:dyDescent="0.25">
      <c r="V2227" s="1" t="str">
        <f>+IFERROR(IF(Tabla3[[#This Row],[Cilindros totales pendientes]]&gt;0,1,""),"")</f>
        <v/>
      </c>
    </row>
    <row r="2228" spans="22:22" x14ac:dyDescent="0.25">
      <c r="V2228" s="1" t="str">
        <f>+IFERROR(IF(Tabla3[[#This Row],[Cilindros totales pendientes]]&gt;0,1,""),"")</f>
        <v/>
      </c>
    </row>
    <row r="2229" spans="22:22" x14ac:dyDescent="0.25">
      <c r="V2229" s="1" t="str">
        <f>+IFERROR(IF(Tabla3[[#This Row],[Cilindros totales pendientes]]&gt;0,1,""),"")</f>
        <v/>
      </c>
    </row>
    <row r="2230" spans="22:22" x14ac:dyDescent="0.25">
      <c r="V2230" s="1" t="str">
        <f>+IFERROR(IF(Tabla3[[#This Row],[Cilindros totales pendientes]]&gt;0,1,""),"")</f>
        <v/>
      </c>
    </row>
    <row r="2231" spans="22:22" x14ac:dyDescent="0.25">
      <c r="V2231" s="1" t="str">
        <f>+IFERROR(IF(Tabla3[[#This Row],[Cilindros totales pendientes]]&gt;0,1,""),"")</f>
        <v/>
      </c>
    </row>
    <row r="2232" spans="22:22" x14ac:dyDescent="0.25">
      <c r="V2232" s="1" t="str">
        <f>+IFERROR(IF(Tabla3[[#This Row],[Cilindros totales pendientes]]&gt;0,1,""),"")</f>
        <v/>
      </c>
    </row>
    <row r="2233" spans="22:22" x14ac:dyDescent="0.25">
      <c r="V2233" s="1" t="str">
        <f>+IFERROR(IF(Tabla3[[#This Row],[Cilindros totales pendientes]]&gt;0,1,""),"")</f>
        <v/>
      </c>
    </row>
    <row r="2234" spans="22:22" x14ac:dyDescent="0.25">
      <c r="V2234" s="1" t="str">
        <f>+IFERROR(IF(Tabla3[[#This Row],[Cilindros totales pendientes]]&gt;0,1,""),"")</f>
        <v/>
      </c>
    </row>
    <row r="2235" spans="22:22" x14ac:dyDescent="0.25">
      <c r="V2235" s="1" t="str">
        <f>+IFERROR(IF(Tabla3[[#This Row],[Cilindros totales pendientes]]&gt;0,1,""),"")</f>
        <v/>
      </c>
    </row>
    <row r="2236" spans="22:22" x14ac:dyDescent="0.25">
      <c r="V2236" s="1" t="str">
        <f>+IFERROR(IF(Tabla3[[#This Row],[Cilindros totales pendientes]]&gt;0,1,""),"")</f>
        <v/>
      </c>
    </row>
    <row r="2237" spans="22:22" x14ac:dyDescent="0.25">
      <c r="V2237" s="1" t="str">
        <f>+IFERROR(IF(Tabla3[[#This Row],[Cilindros totales pendientes]]&gt;0,1,""),"")</f>
        <v/>
      </c>
    </row>
    <row r="2238" spans="22:22" x14ac:dyDescent="0.25">
      <c r="V2238" s="1" t="str">
        <f>+IFERROR(IF(Tabla3[[#This Row],[Cilindros totales pendientes]]&gt;0,1,""),"")</f>
        <v/>
      </c>
    </row>
    <row r="2239" spans="22:22" x14ac:dyDescent="0.25">
      <c r="V2239" s="1" t="str">
        <f>+IFERROR(IF(Tabla3[[#This Row],[Cilindros totales pendientes]]&gt;0,1,""),"")</f>
        <v/>
      </c>
    </row>
    <row r="2240" spans="22:22" x14ac:dyDescent="0.25">
      <c r="V2240" s="1" t="str">
        <f>+IFERROR(IF(Tabla3[[#This Row],[Cilindros totales pendientes]]&gt;0,1,""),"")</f>
        <v/>
      </c>
    </row>
    <row r="2241" spans="22:22" x14ac:dyDescent="0.25">
      <c r="V2241" s="1" t="str">
        <f>+IFERROR(IF(Tabla3[[#This Row],[Cilindros totales pendientes]]&gt;0,1,""),"")</f>
        <v/>
      </c>
    </row>
    <row r="2242" spans="22:22" x14ac:dyDescent="0.25">
      <c r="V2242" s="1" t="str">
        <f>+IFERROR(IF(Tabla3[[#This Row],[Cilindros totales pendientes]]&gt;0,1,""),"")</f>
        <v/>
      </c>
    </row>
    <row r="2243" spans="22:22" x14ac:dyDescent="0.25">
      <c r="V2243" s="1" t="str">
        <f>+IFERROR(IF(Tabla3[[#This Row],[Cilindros totales pendientes]]&gt;0,1,""),"")</f>
        <v/>
      </c>
    </row>
    <row r="2244" spans="22:22" x14ac:dyDescent="0.25">
      <c r="V2244" s="1" t="str">
        <f>+IFERROR(IF(Tabla3[[#This Row],[Cilindros totales pendientes]]&gt;0,1,""),"")</f>
        <v/>
      </c>
    </row>
    <row r="2245" spans="22:22" x14ac:dyDescent="0.25">
      <c r="V2245" s="1" t="str">
        <f>+IFERROR(IF(Tabla3[[#This Row],[Cilindros totales pendientes]]&gt;0,1,""),"")</f>
        <v/>
      </c>
    </row>
    <row r="2246" spans="22:22" x14ac:dyDescent="0.25">
      <c r="V2246" s="1" t="str">
        <f>+IFERROR(IF(Tabla3[[#This Row],[Cilindros totales pendientes]]&gt;0,1,""),"")</f>
        <v/>
      </c>
    </row>
    <row r="2247" spans="22:22" x14ac:dyDescent="0.25">
      <c r="V2247" s="1" t="str">
        <f>+IFERROR(IF(Tabla3[[#This Row],[Cilindros totales pendientes]]&gt;0,1,""),"")</f>
        <v/>
      </c>
    </row>
    <row r="2248" spans="22:22" x14ac:dyDescent="0.25">
      <c r="V2248" s="1" t="str">
        <f>+IFERROR(IF(Tabla3[[#This Row],[Cilindros totales pendientes]]&gt;0,1,""),"")</f>
        <v/>
      </c>
    </row>
    <row r="2249" spans="22:22" x14ac:dyDescent="0.25">
      <c r="V2249" s="1" t="str">
        <f>+IFERROR(IF(Tabla3[[#This Row],[Cilindros totales pendientes]]&gt;0,1,""),"")</f>
        <v/>
      </c>
    </row>
    <row r="2250" spans="22:22" x14ac:dyDescent="0.25">
      <c r="V2250" s="1" t="str">
        <f>+IFERROR(IF(Tabla3[[#This Row],[Cilindros totales pendientes]]&gt;0,1,""),"")</f>
        <v/>
      </c>
    </row>
    <row r="2251" spans="22:22" x14ac:dyDescent="0.25">
      <c r="V2251" s="1" t="str">
        <f>+IFERROR(IF(Tabla3[[#This Row],[Cilindros totales pendientes]]&gt;0,1,""),"")</f>
        <v/>
      </c>
    </row>
    <row r="2252" spans="22:22" x14ac:dyDescent="0.25">
      <c r="V2252" s="1" t="str">
        <f>+IFERROR(IF(Tabla3[[#This Row],[Cilindros totales pendientes]]&gt;0,1,""),"")</f>
        <v/>
      </c>
    </row>
    <row r="2253" spans="22:22" x14ac:dyDescent="0.25">
      <c r="V2253" s="1" t="str">
        <f>+IFERROR(IF(Tabla3[[#This Row],[Cilindros totales pendientes]]&gt;0,1,""),"")</f>
        <v/>
      </c>
    </row>
    <row r="2254" spans="22:22" x14ac:dyDescent="0.25">
      <c r="V2254" s="1" t="str">
        <f>+IFERROR(IF(Tabla3[[#This Row],[Cilindros totales pendientes]]&gt;0,1,""),"")</f>
        <v/>
      </c>
    </row>
    <row r="2255" spans="22:22" x14ac:dyDescent="0.25">
      <c r="V2255" s="1" t="str">
        <f>+IFERROR(IF(Tabla3[[#This Row],[Cilindros totales pendientes]]&gt;0,1,""),"")</f>
        <v/>
      </c>
    </row>
    <row r="2256" spans="22:22" x14ac:dyDescent="0.25">
      <c r="V2256" s="1" t="str">
        <f>+IFERROR(IF(Tabla3[[#This Row],[Cilindros totales pendientes]]&gt;0,1,""),"")</f>
        <v/>
      </c>
    </row>
    <row r="2257" spans="22:22" x14ac:dyDescent="0.25">
      <c r="V2257" s="1" t="str">
        <f>+IFERROR(IF(Tabla3[[#This Row],[Cilindros totales pendientes]]&gt;0,1,""),"")</f>
        <v/>
      </c>
    </row>
    <row r="2258" spans="22:22" x14ac:dyDescent="0.25">
      <c r="V2258" s="1" t="str">
        <f>+IFERROR(IF(Tabla3[[#This Row],[Cilindros totales pendientes]]&gt;0,1,""),"")</f>
        <v/>
      </c>
    </row>
    <row r="2259" spans="22:22" x14ac:dyDescent="0.25">
      <c r="V2259" s="1" t="str">
        <f>+IFERROR(IF(Tabla3[[#This Row],[Cilindros totales pendientes]]&gt;0,1,""),"")</f>
        <v/>
      </c>
    </row>
    <row r="2260" spans="22:22" x14ac:dyDescent="0.25">
      <c r="V2260" s="1" t="str">
        <f>+IFERROR(IF(Tabla3[[#This Row],[Cilindros totales pendientes]]&gt;0,1,""),"")</f>
        <v/>
      </c>
    </row>
    <row r="2261" spans="22:22" x14ac:dyDescent="0.25">
      <c r="V2261" s="1" t="str">
        <f>+IFERROR(IF(Tabla3[[#This Row],[Cilindros totales pendientes]]&gt;0,1,""),"")</f>
        <v/>
      </c>
    </row>
    <row r="2262" spans="22:22" x14ac:dyDescent="0.25">
      <c r="V2262" s="1" t="str">
        <f>+IFERROR(IF(Tabla3[[#This Row],[Cilindros totales pendientes]]&gt;0,1,""),"")</f>
        <v/>
      </c>
    </row>
    <row r="2263" spans="22:22" x14ac:dyDescent="0.25">
      <c r="V2263" s="1" t="str">
        <f>+IFERROR(IF(Tabla3[[#This Row],[Cilindros totales pendientes]]&gt;0,1,""),"")</f>
        <v/>
      </c>
    </row>
    <row r="2264" spans="22:22" x14ac:dyDescent="0.25">
      <c r="V2264" s="1" t="str">
        <f>+IFERROR(IF(Tabla3[[#This Row],[Cilindros totales pendientes]]&gt;0,1,""),"")</f>
        <v/>
      </c>
    </row>
    <row r="2265" spans="22:22" x14ac:dyDescent="0.25">
      <c r="V2265" s="1" t="str">
        <f>+IFERROR(IF(Tabla3[[#This Row],[Cilindros totales pendientes]]&gt;0,1,""),"")</f>
        <v/>
      </c>
    </row>
    <row r="2266" spans="22:22" x14ac:dyDescent="0.25">
      <c r="V2266" s="1" t="str">
        <f>+IFERROR(IF(Tabla3[[#This Row],[Cilindros totales pendientes]]&gt;0,1,""),"")</f>
        <v/>
      </c>
    </row>
    <row r="2267" spans="22:22" x14ac:dyDescent="0.25">
      <c r="V2267" s="1" t="str">
        <f>+IFERROR(IF(Tabla3[[#This Row],[Cilindros totales pendientes]]&gt;0,1,""),"")</f>
        <v/>
      </c>
    </row>
    <row r="2268" spans="22:22" x14ac:dyDescent="0.25">
      <c r="V2268" s="1" t="str">
        <f>+IFERROR(IF(Tabla3[[#This Row],[Cilindros totales pendientes]]&gt;0,1,""),"")</f>
        <v/>
      </c>
    </row>
    <row r="2269" spans="22:22" x14ac:dyDescent="0.25">
      <c r="V2269" s="1" t="str">
        <f>+IFERROR(IF(Tabla3[[#This Row],[Cilindros totales pendientes]]&gt;0,1,""),"")</f>
        <v/>
      </c>
    </row>
    <row r="2270" spans="22:22" x14ac:dyDescent="0.25">
      <c r="V2270" s="1" t="str">
        <f>+IFERROR(IF(Tabla3[[#This Row],[Cilindros totales pendientes]]&gt;0,1,""),"")</f>
        <v/>
      </c>
    </row>
    <row r="2271" spans="22:22" x14ac:dyDescent="0.25">
      <c r="V2271" s="1" t="str">
        <f>+IFERROR(IF(Tabla3[[#This Row],[Cilindros totales pendientes]]&gt;0,1,""),"")</f>
        <v/>
      </c>
    </row>
    <row r="2272" spans="22:22" x14ac:dyDescent="0.25">
      <c r="V2272" s="1" t="str">
        <f>+IFERROR(IF(Tabla3[[#This Row],[Cilindros totales pendientes]]&gt;0,1,""),"")</f>
        <v/>
      </c>
    </row>
    <row r="2273" spans="22:22" x14ac:dyDescent="0.25">
      <c r="V2273" s="1" t="str">
        <f>+IFERROR(IF(Tabla3[[#This Row],[Cilindros totales pendientes]]&gt;0,1,""),"")</f>
        <v/>
      </c>
    </row>
    <row r="2274" spans="22:22" x14ac:dyDescent="0.25">
      <c r="V2274" s="1" t="str">
        <f>+IFERROR(IF(Tabla3[[#This Row],[Cilindros totales pendientes]]&gt;0,1,""),"")</f>
        <v/>
      </c>
    </row>
    <row r="2275" spans="22:22" x14ac:dyDescent="0.25">
      <c r="V2275" s="1" t="str">
        <f>+IFERROR(IF(Tabla3[[#This Row],[Cilindros totales pendientes]]&gt;0,1,""),"")</f>
        <v/>
      </c>
    </row>
    <row r="2276" spans="22:22" x14ac:dyDescent="0.25">
      <c r="V2276" s="1" t="str">
        <f>+IFERROR(IF(Tabla3[[#This Row],[Cilindros totales pendientes]]&gt;0,1,""),"")</f>
        <v/>
      </c>
    </row>
    <row r="2277" spans="22:22" x14ac:dyDescent="0.25">
      <c r="V2277" s="1" t="str">
        <f>+IFERROR(IF(Tabla3[[#This Row],[Cilindros totales pendientes]]&gt;0,1,""),"")</f>
        <v/>
      </c>
    </row>
    <row r="2278" spans="22:22" x14ac:dyDescent="0.25">
      <c r="V2278" s="1" t="str">
        <f>+IFERROR(IF(Tabla3[[#This Row],[Cilindros totales pendientes]]&gt;0,1,""),"")</f>
        <v/>
      </c>
    </row>
    <row r="2279" spans="22:22" x14ac:dyDescent="0.25">
      <c r="V2279" s="1" t="str">
        <f>+IFERROR(IF(Tabla3[[#This Row],[Cilindros totales pendientes]]&gt;0,1,""),"")</f>
        <v/>
      </c>
    </row>
    <row r="2280" spans="22:22" x14ac:dyDescent="0.25">
      <c r="V2280" s="1" t="str">
        <f>+IFERROR(IF(Tabla3[[#This Row],[Cilindros totales pendientes]]&gt;0,1,""),"")</f>
        <v/>
      </c>
    </row>
    <row r="2281" spans="22:22" x14ac:dyDescent="0.25">
      <c r="V2281" s="1" t="str">
        <f>+IFERROR(IF(Tabla3[[#This Row],[Cilindros totales pendientes]]&gt;0,1,""),"")</f>
        <v/>
      </c>
    </row>
    <row r="2282" spans="22:22" x14ac:dyDescent="0.25">
      <c r="V2282" s="1" t="str">
        <f>+IFERROR(IF(Tabla3[[#This Row],[Cilindros totales pendientes]]&gt;0,1,""),"")</f>
        <v/>
      </c>
    </row>
    <row r="2283" spans="22:22" x14ac:dyDescent="0.25">
      <c r="V2283" s="1" t="str">
        <f>+IFERROR(IF(Tabla3[[#This Row],[Cilindros totales pendientes]]&gt;0,1,""),"")</f>
        <v/>
      </c>
    </row>
    <row r="2284" spans="22:22" x14ac:dyDescent="0.25">
      <c r="V2284" s="1" t="str">
        <f>+IFERROR(IF(Tabla3[[#This Row],[Cilindros totales pendientes]]&gt;0,1,""),"")</f>
        <v/>
      </c>
    </row>
    <row r="2285" spans="22:22" x14ac:dyDescent="0.25">
      <c r="V2285" s="1" t="str">
        <f>+IFERROR(IF(Tabla3[[#This Row],[Cilindros totales pendientes]]&gt;0,1,""),"")</f>
        <v/>
      </c>
    </row>
    <row r="2286" spans="22:22" x14ac:dyDescent="0.25">
      <c r="V2286" s="1" t="str">
        <f>+IFERROR(IF(Tabla3[[#This Row],[Cilindros totales pendientes]]&gt;0,1,""),"")</f>
        <v/>
      </c>
    </row>
    <row r="2287" spans="22:22" x14ac:dyDescent="0.25">
      <c r="V2287" s="1" t="str">
        <f>+IFERROR(IF(Tabla3[[#This Row],[Cilindros totales pendientes]]&gt;0,1,""),"")</f>
        <v/>
      </c>
    </row>
    <row r="2288" spans="22:22" x14ac:dyDescent="0.25">
      <c r="V2288" s="1" t="str">
        <f>+IFERROR(IF(Tabla3[[#This Row],[Cilindros totales pendientes]]&gt;0,1,""),"")</f>
        <v/>
      </c>
    </row>
    <row r="2289" spans="22:22" x14ac:dyDescent="0.25">
      <c r="V2289" s="1" t="str">
        <f>+IFERROR(IF(Tabla3[[#This Row],[Cilindros totales pendientes]]&gt;0,1,""),"")</f>
        <v/>
      </c>
    </row>
    <row r="2290" spans="22:22" x14ac:dyDescent="0.25">
      <c r="V2290" s="1" t="str">
        <f>+IFERROR(IF(Tabla3[[#This Row],[Cilindros totales pendientes]]&gt;0,1,""),"")</f>
        <v/>
      </c>
    </row>
    <row r="2291" spans="22:22" x14ac:dyDescent="0.25">
      <c r="V2291" s="1" t="str">
        <f>+IFERROR(IF(Tabla3[[#This Row],[Cilindros totales pendientes]]&gt;0,1,""),"")</f>
        <v/>
      </c>
    </row>
    <row r="2292" spans="22:22" x14ac:dyDescent="0.25">
      <c r="V2292" s="1" t="str">
        <f>+IFERROR(IF(Tabla3[[#This Row],[Cilindros totales pendientes]]&gt;0,1,""),"")</f>
        <v/>
      </c>
    </row>
    <row r="2293" spans="22:22" x14ac:dyDescent="0.25">
      <c r="V2293" s="1" t="str">
        <f>+IFERROR(IF(Tabla3[[#This Row],[Cilindros totales pendientes]]&gt;0,1,""),"")</f>
        <v/>
      </c>
    </row>
    <row r="2294" spans="22:22" x14ac:dyDescent="0.25">
      <c r="V2294" s="1" t="str">
        <f>+IFERROR(IF(Tabla3[[#This Row],[Cilindros totales pendientes]]&gt;0,1,""),"")</f>
        <v/>
      </c>
    </row>
    <row r="2295" spans="22:22" x14ac:dyDescent="0.25">
      <c r="V2295" s="1" t="str">
        <f>+IFERROR(IF(Tabla3[[#This Row],[Cilindros totales pendientes]]&gt;0,1,""),"")</f>
        <v/>
      </c>
    </row>
    <row r="2296" spans="22:22" x14ac:dyDescent="0.25">
      <c r="V2296" s="1" t="str">
        <f>+IFERROR(IF(Tabla3[[#This Row],[Cilindros totales pendientes]]&gt;0,1,""),"")</f>
        <v/>
      </c>
    </row>
    <row r="2297" spans="22:22" x14ac:dyDescent="0.25">
      <c r="V2297" s="1" t="str">
        <f>+IFERROR(IF(Tabla3[[#This Row],[Cilindros totales pendientes]]&gt;0,1,""),"")</f>
        <v/>
      </c>
    </row>
    <row r="2298" spans="22:22" x14ac:dyDescent="0.25">
      <c r="V2298" s="1" t="str">
        <f>+IFERROR(IF(Tabla3[[#This Row],[Cilindros totales pendientes]]&gt;0,1,""),"")</f>
        <v/>
      </c>
    </row>
    <row r="2299" spans="22:22" x14ac:dyDescent="0.25">
      <c r="V2299" s="1" t="str">
        <f>+IFERROR(IF(Tabla3[[#This Row],[Cilindros totales pendientes]]&gt;0,1,""),"")</f>
        <v/>
      </c>
    </row>
    <row r="2300" spans="22:22" x14ac:dyDescent="0.25">
      <c r="V2300" s="1" t="str">
        <f>+IFERROR(IF(Tabla3[[#This Row],[Cilindros totales pendientes]]&gt;0,1,""),"")</f>
        <v/>
      </c>
    </row>
    <row r="2301" spans="22:22" x14ac:dyDescent="0.25">
      <c r="V2301" s="1" t="str">
        <f>+IFERROR(IF(Tabla3[[#This Row],[Cilindros totales pendientes]]&gt;0,1,""),"")</f>
        <v/>
      </c>
    </row>
    <row r="2302" spans="22:22" x14ac:dyDescent="0.25">
      <c r="V2302" s="1" t="str">
        <f>+IFERROR(IF(Tabla3[[#This Row],[Cilindros totales pendientes]]&gt;0,1,""),"")</f>
        <v/>
      </c>
    </row>
    <row r="2303" spans="22:22" x14ac:dyDescent="0.25">
      <c r="V2303" s="1" t="str">
        <f>+IFERROR(IF(Tabla3[[#This Row],[Cilindros totales pendientes]]&gt;0,1,""),"")</f>
        <v/>
      </c>
    </row>
    <row r="2304" spans="22:22" x14ac:dyDescent="0.25">
      <c r="V2304" s="1" t="str">
        <f>+IFERROR(IF(Tabla3[[#This Row],[Cilindros totales pendientes]]&gt;0,1,""),"")</f>
        <v/>
      </c>
    </row>
    <row r="2305" spans="22:22" x14ac:dyDescent="0.25">
      <c r="V2305" s="1" t="str">
        <f>+IFERROR(IF(Tabla3[[#This Row],[Cilindros totales pendientes]]&gt;0,1,""),"")</f>
        <v/>
      </c>
    </row>
    <row r="2306" spans="22:22" x14ac:dyDescent="0.25">
      <c r="V2306" s="1" t="str">
        <f>+IFERROR(IF(Tabla3[[#This Row],[Cilindros totales pendientes]]&gt;0,1,""),"")</f>
        <v/>
      </c>
    </row>
    <row r="2307" spans="22:22" x14ac:dyDescent="0.25">
      <c r="V2307" s="1" t="str">
        <f>+IFERROR(IF(Tabla3[[#This Row],[Cilindros totales pendientes]]&gt;0,1,""),"")</f>
        <v/>
      </c>
    </row>
    <row r="2308" spans="22:22" x14ac:dyDescent="0.25">
      <c r="V2308" s="1" t="str">
        <f>+IFERROR(IF(Tabla3[[#This Row],[Cilindros totales pendientes]]&gt;0,1,""),"")</f>
        <v/>
      </c>
    </row>
    <row r="2309" spans="22:22" x14ac:dyDescent="0.25">
      <c r="V2309" s="1" t="str">
        <f>+IFERROR(IF(Tabla3[[#This Row],[Cilindros totales pendientes]]&gt;0,1,""),"")</f>
        <v/>
      </c>
    </row>
    <row r="2310" spans="22:22" x14ac:dyDescent="0.25">
      <c r="V2310" s="1" t="str">
        <f>+IFERROR(IF(Tabla3[[#This Row],[Cilindros totales pendientes]]&gt;0,1,""),"")</f>
        <v/>
      </c>
    </row>
    <row r="2311" spans="22:22" x14ac:dyDescent="0.25">
      <c r="V2311" s="1" t="str">
        <f>+IFERROR(IF(Tabla3[[#This Row],[Cilindros totales pendientes]]&gt;0,1,""),"")</f>
        <v/>
      </c>
    </row>
    <row r="2312" spans="22:22" x14ac:dyDescent="0.25">
      <c r="V2312" s="1" t="str">
        <f>+IFERROR(IF(Tabla3[[#This Row],[Cilindros totales pendientes]]&gt;0,1,""),"")</f>
        <v/>
      </c>
    </row>
    <row r="2313" spans="22:22" x14ac:dyDescent="0.25">
      <c r="V2313" s="1" t="str">
        <f>+IFERROR(IF(Tabla3[[#This Row],[Cilindros totales pendientes]]&gt;0,1,""),"")</f>
        <v/>
      </c>
    </row>
    <row r="2314" spans="22:22" x14ac:dyDescent="0.25">
      <c r="V2314" s="1" t="str">
        <f>+IFERROR(IF(Tabla3[[#This Row],[Cilindros totales pendientes]]&gt;0,1,""),"")</f>
        <v/>
      </c>
    </row>
    <row r="2315" spans="22:22" x14ac:dyDescent="0.25">
      <c r="V2315" s="1" t="str">
        <f>+IFERROR(IF(Tabla3[[#This Row],[Cilindros totales pendientes]]&gt;0,1,""),"")</f>
        <v/>
      </c>
    </row>
    <row r="2316" spans="22:22" x14ac:dyDescent="0.25">
      <c r="V2316" s="1" t="str">
        <f>+IFERROR(IF(Tabla3[[#This Row],[Cilindros totales pendientes]]&gt;0,1,""),"")</f>
        <v/>
      </c>
    </row>
    <row r="2317" spans="22:22" x14ac:dyDescent="0.25">
      <c r="V2317" s="1" t="str">
        <f>+IFERROR(IF(Tabla3[[#This Row],[Cilindros totales pendientes]]&gt;0,1,""),"")</f>
        <v/>
      </c>
    </row>
    <row r="2318" spans="22:22" x14ac:dyDescent="0.25">
      <c r="V2318" s="1" t="str">
        <f>+IFERROR(IF(Tabla3[[#This Row],[Cilindros totales pendientes]]&gt;0,1,""),"")</f>
        <v/>
      </c>
    </row>
    <row r="2319" spans="22:22" x14ac:dyDescent="0.25">
      <c r="V2319" s="1" t="str">
        <f>+IFERROR(IF(Tabla3[[#This Row],[Cilindros totales pendientes]]&gt;0,1,""),"")</f>
        <v/>
      </c>
    </row>
    <row r="2320" spans="22:22" x14ac:dyDescent="0.25">
      <c r="V2320" s="1" t="str">
        <f>+IFERROR(IF(Tabla3[[#This Row],[Cilindros totales pendientes]]&gt;0,1,""),"")</f>
        <v/>
      </c>
    </row>
    <row r="2321" spans="22:22" x14ac:dyDescent="0.25">
      <c r="V2321" s="1" t="str">
        <f>+IFERROR(IF(Tabla3[[#This Row],[Cilindros totales pendientes]]&gt;0,1,""),"")</f>
        <v/>
      </c>
    </row>
    <row r="2322" spans="22:22" x14ac:dyDescent="0.25">
      <c r="V2322" s="1" t="str">
        <f>+IFERROR(IF(Tabla3[[#This Row],[Cilindros totales pendientes]]&gt;0,1,""),"")</f>
        <v/>
      </c>
    </row>
    <row r="2323" spans="22:22" x14ac:dyDescent="0.25">
      <c r="V2323" s="1" t="str">
        <f>+IFERROR(IF(Tabla3[[#This Row],[Cilindros totales pendientes]]&gt;0,1,""),"")</f>
        <v/>
      </c>
    </row>
    <row r="2324" spans="22:22" x14ac:dyDescent="0.25">
      <c r="V2324" s="1" t="str">
        <f>+IFERROR(IF(Tabla3[[#This Row],[Cilindros totales pendientes]]&gt;0,1,""),"")</f>
        <v/>
      </c>
    </row>
    <row r="2325" spans="22:22" x14ac:dyDescent="0.25">
      <c r="V2325" s="1" t="str">
        <f>+IFERROR(IF(Tabla3[[#This Row],[Cilindros totales pendientes]]&gt;0,1,""),"")</f>
        <v/>
      </c>
    </row>
    <row r="2326" spans="22:22" x14ac:dyDescent="0.25">
      <c r="V2326" s="1" t="str">
        <f>+IFERROR(IF(Tabla3[[#This Row],[Cilindros totales pendientes]]&gt;0,1,""),"")</f>
        <v/>
      </c>
    </row>
    <row r="2327" spans="22:22" x14ac:dyDescent="0.25">
      <c r="V2327" s="1" t="str">
        <f>+IFERROR(IF(Tabla3[[#This Row],[Cilindros totales pendientes]]&gt;0,1,""),"")</f>
        <v/>
      </c>
    </row>
  </sheetData>
  <mergeCells count="2">
    <mergeCell ref="J4:O4"/>
    <mergeCell ref="C4:I4"/>
  </mergeCell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C4:I53"/>
  <sheetViews>
    <sheetView topLeftCell="A2" workbookViewId="0">
      <selection activeCell="H7" sqref="H7"/>
    </sheetView>
  </sheetViews>
  <sheetFormatPr baseColWidth="10" defaultRowHeight="15" x14ac:dyDescent="0.25"/>
  <cols>
    <col min="1" max="3" width="11.42578125" style="1"/>
    <col min="4" max="5" width="23.7109375" style="1" customWidth="1"/>
    <col min="6" max="6" width="19.85546875" style="1" customWidth="1"/>
    <col min="7" max="7" width="23.5703125" style="1" customWidth="1"/>
    <col min="8" max="9" width="22.42578125" style="1" customWidth="1"/>
    <col min="10" max="16384" width="11.42578125" style="1"/>
  </cols>
  <sheetData>
    <row r="4" spans="3:9" x14ac:dyDescent="0.25">
      <c r="C4" s="56" t="s">
        <v>26</v>
      </c>
      <c r="D4" s="56"/>
      <c r="E4" s="56"/>
      <c r="F4" s="56"/>
      <c r="G4" s="56"/>
      <c r="H4" s="56"/>
      <c r="I4" s="56"/>
    </row>
    <row r="5" spans="3:9" x14ac:dyDescent="0.25">
      <c r="C5" s="49" t="s">
        <v>5</v>
      </c>
      <c r="D5" s="49" t="s">
        <v>0</v>
      </c>
      <c r="E5" s="49" t="s">
        <v>29</v>
      </c>
      <c r="F5" s="49" t="s">
        <v>20</v>
      </c>
      <c r="G5" s="49" t="s">
        <v>2</v>
      </c>
      <c r="H5" s="49" t="s">
        <v>3</v>
      </c>
      <c r="I5" s="49" t="s">
        <v>28</v>
      </c>
    </row>
    <row r="6" spans="3:9" x14ac:dyDescent="0.25">
      <c r="C6" s="21">
        <v>45789</v>
      </c>
      <c r="D6" s="22" t="s">
        <v>37</v>
      </c>
      <c r="E6" s="22">
        <v>2</v>
      </c>
      <c r="F6" s="22">
        <v>21</v>
      </c>
      <c r="G6" s="22">
        <v>17</v>
      </c>
      <c r="H6" s="22">
        <v>9</v>
      </c>
      <c r="I6" s="22">
        <v>2</v>
      </c>
    </row>
    <row r="7" spans="3:9" x14ac:dyDescent="0.25">
      <c r="C7" s="35"/>
      <c r="D7" s="31"/>
      <c r="E7" s="31"/>
      <c r="F7" s="31"/>
      <c r="G7" s="31"/>
      <c r="H7" s="31"/>
      <c r="I7" s="31"/>
    </row>
    <row r="8" spans="3:9" x14ac:dyDescent="0.25">
      <c r="C8" s="35"/>
      <c r="D8" s="31"/>
      <c r="E8" s="31"/>
      <c r="F8" s="31"/>
      <c r="G8" s="31"/>
      <c r="H8" s="31"/>
      <c r="I8" s="31"/>
    </row>
    <row r="9" spans="3:9" x14ac:dyDescent="0.25">
      <c r="C9" s="35"/>
      <c r="D9" s="31"/>
      <c r="E9" s="31"/>
      <c r="F9" s="31"/>
      <c r="G9" s="31"/>
      <c r="H9" s="31"/>
      <c r="I9" s="31"/>
    </row>
    <row r="10" spans="3:9" x14ac:dyDescent="0.25">
      <c r="C10" s="35"/>
      <c r="D10" s="31"/>
      <c r="E10" s="31"/>
      <c r="F10" s="31"/>
      <c r="G10" s="31"/>
      <c r="H10" s="31"/>
      <c r="I10" s="31"/>
    </row>
    <row r="11" spans="3:9" x14ac:dyDescent="0.25">
      <c r="C11" s="35"/>
      <c r="D11" s="31"/>
      <c r="E11" s="31"/>
      <c r="F11" s="31"/>
      <c r="G11" s="31"/>
      <c r="H11" s="31"/>
      <c r="I11" s="31"/>
    </row>
    <row r="12" spans="3:9" x14ac:dyDescent="0.25">
      <c r="C12" s="35"/>
      <c r="D12" s="31"/>
      <c r="E12" s="31"/>
      <c r="F12" s="31"/>
      <c r="G12" s="31"/>
      <c r="H12" s="31"/>
      <c r="I12" s="31"/>
    </row>
    <row r="13" spans="3:9" x14ac:dyDescent="0.25">
      <c r="C13" s="35"/>
      <c r="D13" s="31"/>
      <c r="E13" s="31"/>
      <c r="F13" s="31"/>
      <c r="G13" s="31"/>
      <c r="H13" s="31"/>
      <c r="I13" s="31"/>
    </row>
    <row r="14" spans="3:9" x14ac:dyDescent="0.25">
      <c r="C14" s="35"/>
      <c r="D14" s="31"/>
      <c r="E14" s="31"/>
      <c r="F14" s="31"/>
      <c r="G14" s="31"/>
      <c r="H14" s="31"/>
      <c r="I14" s="22"/>
    </row>
    <row r="15" spans="3:9" x14ac:dyDescent="0.25">
      <c r="C15" s="35"/>
      <c r="D15" s="31"/>
      <c r="E15" s="31"/>
      <c r="F15" s="31"/>
      <c r="G15" s="31"/>
      <c r="H15" s="31"/>
      <c r="I15" s="22"/>
    </row>
    <row r="16" spans="3:9" x14ac:dyDescent="0.25">
      <c r="C16" s="35"/>
      <c r="D16" s="31"/>
      <c r="E16" s="31"/>
      <c r="F16" s="31"/>
      <c r="G16" s="31"/>
      <c r="H16" s="31"/>
      <c r="I16" s="22"/>
    </row>
    <row r="17" spans="3:9" x14ac:dyDescent="0.25">
      <c r="C17" s="35"/>
      <c r="D17" s="31"/>
      <c r="E17" s="31"/>
      <c r="F17" s="31"/>
      <c r="G17" s="31"/>
      <c r="H17" s="31"/>
      <c r="I17" s="22"/>
    </row>
    <row r="18" spans="3:9" x14ac:dyDescent="0.25">
      <c r="C18" s="35"/>
      <c r="D18" s="31"/>
      <c r="E18" s="31"/>
      <c r="F18" s="31"/>
      <c r="G18" s="31"/>
      <c r="H18" s="31"/>
      <c r="I18" s="22"/>
    </row>
    <row r="19" spans="3:9" x14ac:dyDescent="0.25">
      <c r="C19" s="35"/>
      <c r="D19" s="31"/>
      <c r="E19" s="31"/>
      <c r="F19" s="31"/>
      <c r="G19" s="31"/>
      <c r="H19" s="31"/>
      <c r="I19" s="22"/>
    </row>
    <row r="20" spans="3:9" x14ac:dyDescent="0.25">
      <c r="C20" s="35"/>
      <c r="D20" s="31"/>
      <c r="E20" s="31"/>
      <c r="F20" s="31"/>
      <c r="G20" s="31"/>
      <c r="H20" s="31"/>
      <c r="I20" s="22"/>
    </row>
    <row r="21" spans="3:9" x14ac:dyDescent="0.25">
      <c r="C21" s="35"/>
      <c r="D21" s="31"/>
      <c r="E21" s="31"/>
      <c r="F21" s="31"/>
      <c r="G21" s="31"/>
      <c r="H21" s="31"/>
      <c r="I21" s="22"/>
    </row>
    <row r="22" spans="3:9" x14ac:dyDescent="0.25">
      <c r="C22" s="35"/>
      <c r="D22" s="31"/>
      <c r="E22" s="31"/>
      <c r="F22" s="31"/>
      <c r="G22" s="31"/>
      <c r="H22" s="31"/>
      <c r="I22" s="22"/>
    </row>
    <row r="23" spans="3:9" x14ac:dyDescent="0.25">
      <c r="C23" s="35"/>
      <c r="D23" s="31"/>
      <c r="E23" s="31"/>
      <c r="F23" s="31"/>
      <c r="G23" s="31"/>
      <c r="H23" s="31"/>
      <c r="I23" s="22"/>
    </row>
    <row r="24" spans="3:9" x14ac:dyDescent="0.25">
      <c r="C24" s="35"/>
      <c r="D24" s="31"/>
      <c r="E24" s="31"/>
      <c r="F24" s="31"/>
      <c r="G24" s="31"/>
      <c r="H24" s="31"/>
      <c r="I24" s="22"/>
    </row>
    <row r="25" spans="3:9" x14ac:dyDescent="0.25">
      <c r="C25" s="35"/>
      <c r="D25" s="31"/>
      <c r="E25" s="31"/>
      <c r="F25" s="31"/>
      <c r="G25" s="31"/>
      <c r="H25" s="31"/>
      <c r="I25" s="22"/>
    </row>
    <row r="26" spans="3:9" x14ac:dyDescent="0.25">
      <c r="C26" s="35"/>
      <c r="D26" s="31"/>
      <c r="E26" s="31"/>
      <c r="F26" s="31"/>
      <c r="G26" s="31"/>
      <c r="H26" s="31"/>
      <c r="I26" s="22"/>
    </row>
    <row r="27" spans="3:9" x14ac:dyDescent="0.25">
      <c r="C27" s="35"/>
      <c r="D27" s="31"/>
      <c r="E27" s="31"/>
      <c r="F27" s="31"/>
      <c r="G27" s="31"/>
      <c r="H27" s="31"/>
      <c r="I27" s="22"/>
    </row>
    <row r="28" spans="3:9" x14ac:dyDescent="0.25">
      <c r="C28" s="35"/>
      <c r="D28" s="31"/>
      <c r="E28" s="31"/>
      <c r="F28" s="31"/>
      <c r="G28" s="31"/>
      <c r="H28" s="31"/>
      <c r="I28" s="22"/>
    </row>
    <row r="29" spans="3:9" x14ac:dyDescent="0.25">
      <c r="C29" s="35"/>
      <c r="D29" s="31"/>
      <c r="E29" s="31"/>
      <c r="F29" s="31"/>
      <c r="G29" s="31"/>
      <c r="H29" s="31"/>
      <c r="I29" s="22"/>
    </row>
    <row r="30" spans="3:9" x14ac:dyDescent="0.25">
      <c r="C30" s="35"/>
      <c r="D30" s="31"/>
      <c r="E30" s="31"/>
      <c r="F30" s="31"/>
      <c r="G30" s="31"/>
      <c r="H30" s="31"/>
      <c r="I30" s="22"/>
    </row>
    <row r="31" spans="3:9" x14ac:dyDescent="0.25">
      <c r="C31" s="35"/>
      <c r="D31" s="31"/>
      <c r="E31" s="31"/>
      <c r="F31" s="31"/>
      <c r="G31" s="31"/>
      <c r="H31" s="31"/>
      <c r="I31" s="22"/>
    </row>
    <row r="32" spans="3:9" x14ac:dyDescent="0.25">
      <c r="C32" s="35"/>
      <c r="D32" s="31"/>
      <c r="E32" s="31"/>
      <c r="F32" s="31"/>
      <c r="G32" s="31"/>
      <c r="H32" s="31"/>
      <c r="I32" s="22"/>
    </row>
    <row r="33" spans="3:9" x14ac:dyDescent="0.25">
      <c r="C33" s="35"/>
      <c r="D33" s="31"/>
      <c r="E33" s="31"/>
      <c r="F33" s="31"/>
      <c r="G33" s="31"/>
      <c r="H33" s="31"/>
      <c r="I33" s="22"/>
    </row>
    <row r="34" spans="3:9" x14ac:dyDescent="0.25">
      <c r="C34" s="35"/>
      <c r="D34" s="31"/>
      <c r="E34" s="31"/>
      <c r="F34" s="31"/>
      <c r="G34" s="31"/>
      <c r="H34" s="31"/>
      <c r="I34" s="22"/>
    </row>
    <row r="35" spans="3:9" x14ac:dyDescent="0.25">
      <c r="C35" s="35"/>
      <c r="D35" s="31"/>
      <c r="E35" s="31"/>
      <c r="F35" s="31"/>
      <c r="G35" s="31"/>
      <c r="H35" s="31"/>
      <c r="I35" s="22"/>
    </row>
    <row r="36" spans="3:9" s="23" customFormat="1" x14ac:dyDescent="0.25">
      <c r="C36" s="30"/>
      <c r="D36" s="28"/>
      <c r="E36" s="28"/>
      <c r="F36" s="28"/>
      <c r="G36" s="28"/>
      <c r="H36" s="28"/>
      <c r="I36" s="4"/>
    </row>
    <row r="37" spans="3:9" s="23" customFormat="1" x14ac:dyDescent="0.25">
      <c r="C37" s="30"/>
      <c r="D37" s="28"/>
      <c r="E37" s="28"/>
      <c r="F37" s="28"/>
      <c r="G37" s="28"/>
      <c r="H37" s="28"/>
      <c r="I37" s="4"/>
    </row>
    <row r="38" spans="3:9" s="23" customFormat="1" x14ac:dyDescent="0.25">
      <c r="C38" s="30"/>
      <c r="D38" s="28"/>
      <c r="E38" s="28"/>
      <c r="F38" s="28"/>
      <c r="G38" s="28"/>
      <c r="H38" s="28"/>
      <c r="I38" s="4"/>
    </row>
    <row r="39" spans="3:9" s="23" customFormat="1" x14ac:dyDescent="0.25">
      <c r="C39" s="28"/>
      <c r="D39" s="28"/>
      <c r="E39" s="28"/>
      <c r="F39" s="28"/>
      <c r="G39" s="28"/>
      <c r="H39" s="28"/>
      <c r="I39" s="4"/>
    </row>
    <row r="40" spans="3:9" s="23" customFormat="1" x14ac:dyDescent="0.25">
      <c r="C40" s="30"/>
      <c r="D40" s="28"/>
      <c r="E40" s="28"/>
      <c r="F40" s="28"/>
      <c r="G40" s="28"/>
      <c r="H40" s="28"/>
      <c r="I40" s="4"/>
    </row>
    <row r="41" spans="3:9" s="23" customFormat="1" x14ac:dyDescent="0.25">
      <c r="C41" s="28"/>
      <c r="D41" s="28"/>
      <c r="E41" s="28"/>
      <c r="F41" s="28"/>
      <c r="G41" s="28"/>
      <c r="H41" s="28"/>
      <c r="I41" s="4"/>
    </row>
    <row r="42" spans="3:9" s="23" customFormat="1" x14ac:dyDescent="0.25">
      <c r="C42" s="4"/>
      <c r="D42" s="4"/>
      <c r="E42" s="4"/>
      <c r="F42" s="4"/>
      <c r="G42" s="4"/>
      <c r="H42" s="4"/>
      <c r="I42" s="4"/>
    </row>
    <row r="43" spans="3:9" s="23" customFormat="1" x14ac:dyDescent="0.25">
      <c r="C43" s="4"/>
      <c r="D43" s="4"/>
      <c r="E43" s="4"/>
      <c r="F43" s="4"/>
      <c r="G43" s="4"/>
      <c r="H43" s="4"/>
      <c r="I43" s="4"/>
    </row>
    <row r="44" spans="3:9" s="23" customFormat="1" x14ac:dyDescent="0.25">
      <c r="C44" s="4"/>
      <c r="D44" s="4"/>
      <c r="E44" s="4"/>
      <c r="F44" s="4"/>
      <c r="G44" s="4"/>
      <c r="H44" s="4"/>
      <c r="I44" s="4"/>
    </row>
    <row r="45" spans="3:9" s="23" customFormat="1" x14ac:dyDescent="0.25">
      <c r="C45" s="4"/>
      <c r="D45" s="4"/>
      <c r="E45" s="4"/>
      <c r="F45" s="4"/>
      <c r="G45" s="4"/>
      <c r="H45" s="4"/>
      <c r="I45" s="4"/>
    </row>
    <row r="46" spans="3:9" s="23" customFormat="1" x14ac:dyDescent="0.25">
      <c r="C46" s="4"/>
      <c r="D46" s="4"/>
      <c r="E46" s="4"/>
      <c r="F46" s="4"/>
      <c r="G46" s="4"/>
      <c r="H46" s="4"/>
      <c r="I46" s="4"/>
    </row>
    <row r="47" spans="3:9" s="23" customFormat="1" x14ac:dyDescent="0.25">
      <c r="C47" s="4"/>
      <c r="D47" s="4"/>
      <c r="E47" s="4"/>
      <c r="F47" s="4"/>
      <c r="G47" s="4"/>
      <c r="H47" s="4"/>
      <c r="I47" s="4"/>
    </row>
    <row r="48" spans="3:9" s="23" customFormat="1" x14ac:dyDescent="0.25">
      <c r="C48" s="4"/>
      <c r="D48" s="4"/>
      <c r="E48" s="4"/>
      <c r="F48" s="4"/>
      <c r="G48" s="4"/>
      <c r="H48" s="4"/>
      <c r="I48" s="4"/>
    </row>
    <row r="49" spans="3:9" x14ac:dyDescent="0.25">
      <c r="C49" s="5"/>
      <c r="D49" s="5"/>
      <c r="E49" s="5"/>
      <c r="F49" s="5"/>
      <c r="G49" s="5"/>
      <c r="H49" s="5"/>
      <c r="I49" s="5"/>
    </row>
    <row r="50" spans="3:9" x14ac:dyDescent="0.25">
      <c r="C50" s="5"/>
      <c r="D50" s="5"/>
      <c r="E50" s="5"/>
      <c r="F50" s="5"/>
      <c r="G50" s="5"/>
      <c r="H50" s="5"/>
      <c r="I50" s="5"/>
    </row>
    <row r="51" spans="3:9" x14ac:dyDescent="0.25">
      <c r="C51" s="5"/>
      <c r="D51" s="4"/>
      <c r="E51" s="4"/>
      <c r="F51" s="4"/>
      <c r="G51" s="4"/>
      <c r="H51" s="4"/>
      <c r="I51" s="4"/>
    </row>
    <row r="52" spans="3:9" x14ac:dyDescent="0.25">
      <c r="C52" s="5"/>
      <c r="D52" s="5"/>
      <c r="E52" s="5"/>
      <c r="F52" s="5"/>
      <c r="G52" s="5"/>
      <c r="H52" s="5"/>
      <c r="I52" s="5"/>
    </row>
    <row r="53" spans="3:9" x14ac:dyDescent="0.25">
      <c r="C53" s="3"/>
      <c r="D53" s="3"/>
      <c r="E53" s="3"/>
      <c r="F53" s="3"/>
      <c r="G53" s="3"/>
      <c r="H53" s="3"/>
      <c r="I53" s="48"/>
    </row>
  </sheetData>
  <mergeCells count="1">
    <mergeCell ref="C4:I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725"/>
  <sheetViews>
    <sheetView workbookViewId="0">
      <selection activeCell="D7" sqref="D7"/>
    </sheetView>
  </sheetViews>
  <sheetFormatPr baseColWidth="10" defaultRowHeight="15" x14ac:dyDescent="0.25"/>
  <cols>
    <col min="1" max="1" width="11.42578125" style="1"/>
    <col min="2" max="2" width="11.85546875" style="1" bestFit="1" customWidth="1"/>
    <col min="3" max="3" width="11.42578125" style="32"/>
    <col min="4" max="5" width="11.42578125" style="14"/>
    <col min="6" max="6" width="20.140625" style="1" customWidth="1"/>
    <col min="7" max="8" width="23.7109375" style="1" customWidth="1"/>
    <col min="9" max="9" width="22.28515625" style="1" customWidth="1"/>
    <col min="10" max="16384" width="11.42578125" style="1"/>
  </cols>
  <sheetData>
    <row r="1" spans="1:9" s="33" customFormat="1" x14ac:dyDescent="0.25">
      <c r="A1" s="33" t="s">
        <v>23</v>
      </c>
      <c r="B1" s="86">
        <f>+D87</f>
        <v>0</v>
      </c>
      <c r="C1" s="87"/>
      <c r="D1" s="54"/>
      <c r="E1" s="34"/>
    </row>
    <row r="2" spans="1:9" s="33" customFormat="1" x14ac:dyDescent="0.25">
      <c r="A2" s="33" t="s">
        <v>24</v>
      </c>
      <c r="B2" s="86">
        <f>+B1+(30)</f>
        <v>30</v>
      </c>
      <c r="C2" s="86"/>
      <c r="D2" s="54"/>
      <c r="E2" s="34"/>
    </row>
    <row r="3" spans="1:9" x14ac:dyDescent="0.25">
      <c r="A3" s="51"/>
      <c r="B3" s="51"/>
      <c r="C3" s="51"/>
      <c r="D3" s="55"/>
    </row>
    <row r="5" spans="1:9" x14ac:dyDescent="0.25">
      <c r="C5" s="51"/>
      <c r="D5" s="56" t="s">
        <v>21</v>
      </c>
      <c r="E5" s="56"/>
      <c r="F5" s="56"/>
      <c r="G5" s="56"/>
      <c r="H5" s="56"/>
      <c r="I5" s="56"/>
    </row>
    <row r="6" spans="1:9" ht="45" x14ac:dyDescent="0.25">
      <c r="C6" s="52"/>
      <c r="D6" s="39" t="s">
        <v>6</v>
      </c>
      <c r="E6" s="39" t="s">
        <v>29</v>
      </c>
      <c r="F6" s="40" t="s">
        <v>20</v>
      </c>
      <c r="G6" s="40" t="s">
        <v>2</v>
      </c>
      <c r="H6" s="40" t="s">
        <v>3</v>
      </c>
      <c r="I6" s="40" t="s">
        <v>28</v>
      </c>
    </row>
    <row r="7" spans="1:9" x14ac:dyDescent="0.25">
      <c r="C7" s="52">
        <f>+IF(Tabla4[[#This Row],[FECHA]]&gt;=$B$2,1,"")</f>
        <v>1</v>
      </c>
      <c r="D7" s="50">
        <v>45789</v>
      </c>
      <c r="E7" s="50"/>
      <c r="F7" s="9">
        <v>2</v>
      </c>
      <c r="G7" s="9"/>
      <c r="H7" s="9"/>
      <c r="I7" s="9">
        <v>1</v>
      </c>
    </row>
    <row r="8" spans="1:9" x14ac:dyDescent="0.25">
      <c r="C8" s="52">
        <f>+IF(Tabla4[[#This Row],[FECHA]]&gt;=$B$2,1,"")</f>
        <v>1</v>
      </c>
      <c r="D8" s="16">
        <v>45789</v>
      </c>
      <c r="E8" s="16"/>
      <c r="F8" s="15">
        <v>4</v>
      </c>
      <c r="G8" s="15">
        <v>4</v>
      </c>
      <c r="H8" s="15">
        <v>3</v>
      </c>
      <c r="I8" s="15"/>
    </row>
    <row r="9" spans="1:9" x14ac:dyDescent="0.25">
      <c r="C9" s="52" t="str">
        <f>+IF(Tabla4[[#This Row],[FECHA]]&gt;=$B$2,1,"")</f>
        <v/>
      </c>
      <c r="D9" s="16"/>
      <c r="E9" s="16"/>
      <c r="F9" s="15"/>
      <c r="G9" s="15"/>
      <c r="H9" s="15"/>
      <c r="I9" s="15"/>
    </row>
    <row r="10" spans="1:9" x14ac:dyDescent="0.25">
      <c r="C10" s="52" t="str">
        <f>+IF(Tabla4[[#This Row],[FECHA]]&gt;=$B$2,1,"")</f>
        <v/>
      </c>
      <c r="D10" s="16"/>
      <c r="E10" s="16"/>
      <c r="F10" s="15"/>
      <c r="G10" s="15"/>
      <c r="H10" s="15"/>
      <c r="I10" s="15"/>
    </row>
    <row r="11" spans="1:9" x14ac:dyDescent="0.25">
      <c r="C11" s="52" t="str">
        <f>+IF(Tabla4[[#This Row],[FECHA]]&gt;=$B$2,1,"")</f>
        <v/>
      </c>
      <c r="D11" s="16"/>
      <c r="E11" s="16"/>
      <c r="F11" s="15"/>
      <c r="G11" s="15"/>
      <c r="H11" s="15"/>
      <c r="I11" s="15"/>
    </row>
    <row r="12" spans="1:9" x14ac:dyDescent="0.25">
      <c r="C12" s="52" t="str">
        <f>+IF(Tabla4[[#This Row],[FECHA]]&gt;=$B$2,1,"")</f>
        <v/>
      </c>
      <c r="D12" s="16"/>
      <c r="E12" s="16"/>
      <c r="F12" s="15"/>
      <c r="G12" s="15"/>
      <c r="H12" s="15"/>
      <c r="I12" s="15"/>
    </row>
    <row r="13" spans="1:9" x14ac:dyDescent="0.25">
      <c r="C13" s="52" t="str">
        <f>+IF(Tabla4[[#This Row],[FECHA]]&gt;=$B$2,1,"")</f>
        <v/>
      </c>
      <c r="D13" s="16"/>
      <c r="E13" s="16"/>
      <c r="F13" s="15"/>
      <c r="G13" s="15"/>
      <c r="H13" s="15"/>
      <c r="I13" s="15"/>
    </row>
    <row r="14" spans="1:9" x14ac:dyDescent="0.25">
      <c r="C14" s="52" t="str">
        <f>+IF(Tabla4[[#This Row],[FECHA]]&gt;=$B$2,1,"")</f>
        <v/>
      </c>
      <c r="D14" s="16"/>
      <c r="E14" s="16"/>
      <c r="F14" s="15"/>
      <c r="G14" s="15"/>
      <c r="H14" s="15"/>
      <c r="I14" s="15"/>
    </row>
    <row r="15" spans="1:9" x14ac:dyDescent="0.25">
      <c r="C15" s="52" t="str">
        <f>+IF(Tabla4[[#This Row],[FECHA]]&gt;=$B$2,1,"")</f>
        <v/>
      </c>
      <c r="D15" s="16"/>
      <c r="E15" s="16"/>
      <c r="F15" s="15"/>
      <c r="G15" s="15"/>
      <c r="H15" s="15"/>
      <c r="I15" s="15"/>
    </row>
    <row r="16" spans="1:9" x14ac:dyDescent="0.25">
      <c r="C16" s="52" t="str">
        <f>+IF(Tabla4[[#This Row],[FECHA]]&gt;=$B$2,1,"")</f>
        <v/>
      </c>
      <c r="D16" s="16"/>
      <c r="E16" s="16"/>
      <c r="F16" s="15"/>
      <c r="G16" s="15"/>
      <c r="H16" s="15"/>
      <c r="I16" s="15"/>
    </row>
    <row r="17" spans="3:9" x14ac:dyDescent="0.25">
      <c r="C17" s="52" t="str">
        <f>+IF(Tabla4[[#This Row],[FECHA]]&gt;=$B$2,1,"")</f>
        <v/>
      </c>
      <c r="D17" s="16"/>
      <c r="E17" s="16"/>
      <c r="F17" s="15"/>
      <c r="G17" s="15"/>
      <c r="H17" s="15"/>
      <c r="I17" s="15"/>
    </row>
    <row r="18" spans="3:9" x14ac:dyDescent="0.25">
      <c r="C18" s="52" t="str">
        <f>+IF(Tabla4[[#This Row],[FECHA]]&gt;=$B$2,1,"")</f>
        <v/>
      </c>
      <c r="D18" s="16"/>
      <c r="E18" s="16"/>
      <c r="F18" s="15"/>
      <c r="G18" s="15"/>
      <c r="H18" s="15"/>
      <c r="I18" s="15"/>
    </row>
    <row r="19" spans="3:9" x14ac:dyDescent="0.25">
      <c r="C19" s="52" t="str">
        <f>+IF(Tabla4[[#This Row],[FECHA]]&gt;=$B$2,1,"")</f>
        <v/>
      </c>
      <c r="D19" s="16"/>
      <c r="E19" s="16"/>
      <c r="F19" s="15"/>
      <c r="G19" s="15"/>
      <c r="H19" s="15"/>
      <c r="I19" s="15"/>
    </row>
    <row r="20" spans="3:9" x14ac:dyDescent="0.25">
      <c r="C20" s="52" t="str">
        <f>+IF(Tabla4[[#This Row],[FECHA]]&gt;=$B$2,1,"")</f>
        <v/>
      </c>
      <c r="D20" s="16"/>
      <c r="E20" s="16"/>
      <c r="F20" s="15"/>
      <c r="G20" s="15"/>
      <c r="H20" s="15"/>
      <c r="I20" s="15"/>
    </row>
    <row r="21" spans="3:9" x14ac:dyDescent="0.25">
      <c r="C21" s="52" t="str">
        <f>+IF(Tabla4[[#This Row],[FECHA]]&gt;=$B$2,1,"")</f>
        <v/>
      </c>
      <c r="D21" s="16"/>
      <c r="E21" s="16"/>
      <c r="F21" s="15"/>
      <c r="G21" s="15"/>
      <c r="H21" s="15"/>
      <c r="I21" s="15"/>
    </row>
    <row r="22" spans="3:9" x14ac:dyDescent="0.25">
      <c r="C22" s="52" t="str">
        <f>+IF(Tabla4[[#This Row],[FECHA]]&gt;=$B$2,1,"")</f>
        <v/>
      </c>
      <c r="D22" s="16"/>
      <c r="E22" s="16"/>
      <c r="F22" s="15"/>
      <c r="G22" s="15"/>
      <c r="H22" s="15"/>
      <c r="I22" s="15"/>
    </row>
    <row r="23" spans="3:9" x14ac:dyDescent="0.25">
      <c r="C23" s="52" t="str">
        <f>+IF(Tabla4[[#This Row],[FECHA]]&gt;=$B$2,1,"")</f>
        <v/>
      </c>
      <c r="D23" s="16"/>
      <c r="E23" s="16"/>
      <c r="F23" s="15"/>
      <c r="G23" s="15"/>
      <c r="H23" s="15"/>
      <c r="I23" s="15"/>
    </row>
    <row r="24" spans="3:9" x14ac:dyDescent="0.25">
      <c r="C24" s="52" t="str">
        <f>+IF(Tabla4[[#This Row],[FECHA]]&gt;=$B$2,1,"")</f>
        <v/>
      </c>
      <c r="D24" s="16"/>
      <c r="E24" s="16"/>
      <c r="F24" s="15"/>
      <c r="G24" s="15"/>
      <c r="H24" s="15"/>
      <c r="I24" s="15"/>
    </row>
    <row r="25" spans="3:9" x14ac:dyDescent="0.25">
      <c r="C25" s="52" t="str">
        <f>+IF(Tabla4[[#This Row],[FECHA]]&gt;=$B$2,1,"")</f>
        <v/>
      </c>
      <c r="D25" s="16"/>
      <c r="E25" s="16"/>
      <c r="F25" s="15"/>
      <c r="G25" s="15"/>
      <c r="H25" s="15"/>
      <c r="I25" s="15"/>
    </row>
    <row r="26" spans="3:9" x14ac:dyDescent="0.25">
      <c r="C26" s="52" t="str">
        <f>+IF(Tabla4[[#This Row],[FECHA]]&gt;=$B$2,1,"")</f>
        <v/>
      </c>
      <c r="D26" s="16"/>
      <c r="E26" s="16"/>
      <c r="F26" s="15"/>
      <c r="G26" s="15"/>
      <c r="H26" s="15"/>
      <c r="I26" s="15"/>
    </row>
    <row r="27" spans="3:9" x14ac:dyDescent="0.25">
      <c r="C27" s="52" t="str">
        <f>+IF(Tabla4[[#This Row],[FECHA]]&gt;=$B$2,1,"")</f>
        <v/>
      </c>
      <c r="D27" s="16"/>
      <c r="E27" s="16"/>
      <c r="F27" s="15"/>
      <c r="G27" s="15"/>
      <c r="H27" s="15"/>
      <c r="I27" s="15"/>
    </row>
    <row r="28" spans="3:9" x14ac:dyDescent="0.25">
      <c r="C28" s="52" t="str">
        <f>+IF(Tabla4[[#This Row],[FECHA]]&gt;=$B$2,1,"")</f>
        <v/>
      </c>
      <c r="D28" s="16"/>
      <c r="E28" s="16"/>
      <c r="F28" s="15"/>
      <c r="G28" s="15"/>
      <c r="H28" s="15"/>
      <c r="I28" s="15"/>
    </row>
    <row r="29" spans="3:9" x14ac:dyDescent="0.25">
      <c r="C29" s="52" t="str">
        <f>+IF(Tabla4[[#This Row],[FECHA]]&gt;=$B$2,1,"")</f>
        <v/>
      </c>
      <c r="D29" s="16"/>
      <c r="E29" s="16"/>
      <c r="F29" s="15"/>
      <c r="G29" s="15"/>
      <c r="H29" s="15"/>
      <c r="I29" s="15"/>
    </row>
    <row r="30" spans="3:9" x14ac:dyDescent="0.25">
      <c r="C30" s="52" t="str">
        <f>+IF(Tabla4[[#This Row],[FECHA]]&gt;=$B$2,1,"")</f>
        <v/>
      </c>
      <c r="D30" s="16"/>
      <c r="E30" s="16"/>
      <c r="F30" s="15"/>
      <c r="G30" s="15"/>
      <c r="H30" s="15"/>
      <c r="I30" s="15"/>
    </row>
    <row r="31" spans="3:9" x14ac:dyDescent="0.25">
      <c r="C31" s="52" t="str">
        <f>+IF(Tabla4[[#This Row],[FECHA]]&gt;=$B$2,1,"")</f>
        <v/>
      </c>
      <c r="D31" s="16"/>
      <c r="E31" s="16"/>
      <c r="F31" s="15"/>
      <c r="G31" s="15"/>
      <c r="H31" s="15"/>
      <c r="I31" s="15"/>
    </row>
    <row r="32" spans="3:9" x14ac:dyDescent="0.25">
      <c r="C32" s="52" t="str">
        <f>+IF(Tabla4[[#This Row],[FECHA]]&gt;=$B$2,1,"")</f>
        <v/>
      </c>
      <c r="D32" s="16"/>
      <c r="E32" s="16"/>
      <c r="F32" s="15"/>
      <c r="G32" s="15"/>
      <c r="H32" s="15"/>
      <c r="I32" s="15"/>
    </row>
    <row r="33" spans="3:9" x14ac:dyDescent="0.25">
      <c r="C33" s="52" t="str">
        <f>+IF(Tabla4[[#This Row],[FECHA]]&gt;=$B$2,1,"")</f>
        <v/>
      </c>
      <c r="D33" s="16"/>
      <c r="E33" s="16"/>
      <c r="F33" s="15"/>
      <c r="G33" s="15"/>
      <c r="H33" s="15"/>
      <c r="I33" s="15"/>
    </row>
    <row r="34" spans="3:9" x14ac:dyDescent="0.25">
      <c r="C34" s="52" t="str">
        <f>+IF(Tabla4[[#This Row],[FECHA]]&gt;=$B$2,1,"")</f>
        <v/>
      </c>
      <c r="D34" s="16"/>
      <c r="E34" s="16"/>
      <c r="F34" s="15"/>
      <c r="G34" s="15"/>
      <c r="H34" s="15"/>
      <c r="I34" s="15"/>
    </row>
    <row r="35" spans="3:9" x14ac:dyDescent="0.25">
      <c r="C35" s="52" t="str">
        <f>+IF(Tabla4[[#This Row],[FECHA]]&gt;=$B$2,1,"")</f>
        <v/>
      </c>
      <c r="D35" s="16"/>
      <c r="E35" s="16"/>
      <c r="F35" s="15"/>
      <c r="G35" s="15"/>
      <c r="H35" s="15"/>
      <c r="I35" s="15"/>
    </row>
    <row r="36" spans="3:9" x14ac:dyDescent="0.25">
      <c r="C36" s="52" t="str">
        <f>+IF(Tabla4[[#This Row],[FECHA]]&gt;=$B$2,1,"")</f>
        <v/>
      </c>
      <c r="D36" s="16"/>
      <c r="E36" s="16"/>
      <c r="F36" s="15"/>
      <c r="G36" s="15"/>
      <c r="H36" s="15"/>
      <c r="I36" s="15"/>
    </row>
    <row r="37" spans="3:9" x14ac:dyDescent="0.25">
      <c r="C37" s="52" t="str">
        <f>+IF(Tabla4[[#This Row],[FECHA]]&gt;=$B$2,1,"")</f>
        <v/>
      </c>
      <c r="D37" s="16"/>
      <c r="E37" s="16"/>
      <c r="F37" s="15"/>
      <c r="G37" s="15"/>
      <c r="H37" s="15"/>
      <c r="I37" s="15"/>
    </row>
    <row r="38" spans="3:9" x14ac:dyDescent="0.25">
      <c r="C38" s="52" t="str">
        <f>+IF(Tabla4[[#This Row],[FECHA]]&gt;=$B$2,1,"")</f>
        <v/>
      </c>
      <c r="D38" s="16"/>
      <c r="E38" s="16"/>
      <c r="F38" s="15"/>
      <c r="G38" s="15"/>
      <c r="H38" s="15"/>
      <c r="I38" s="15"/>
    </row>
    <row r="39" spans="3:9" x14ac:dyDescent="0.25">
      <c r="C39" s="52" t="str">
        <f>+IF(Tabla4[[#This Row],[FECHA]]&gt;=$B$2,1,"")</f>
        <v/>
      </c>
      <c r="D39" s="16"/>
      <c r="E39" s="16"/>
      <c r="F39" s="15"/>
      <c r="G39" s="15"/>
      <c r="H39" s="15"/>
      <c r="I39" s="15"/>
    </row>
    <row r="40" spans="3:9" x14ac:dyDescent="0.25">
      <c r="C40" s="52" t="str">
        <f>+IF(Tabla4[[#This Row],[FECHA]]&gt;=$B$2,1,"")</f>
        <v/>
      </c>
      <c r="D40" s="16"/>
      <c r="E40" s="16"/>
      <c r="F40" s="15"/>
      <c r="G40" s="15"/>
      <c r="H40" s="15"/>
      <c r="I40" s="15"/>
    </row>
    <row r="41" spans="3:9" x14ac:dyDescent="0.25">
      <c r="C41" s="52" t="str">
        <f>+IF(Tabla4[[#This Row],[FECHA]]&gt;=$B$2,1,"")</f>
        <v/>
      </c>
      <c r="D41" s="16"/>
      <c r="E41" s="16"/>
      <c r="F41" s="15"/>
      <c r="G41" s="15"/>
      <c r="H41" s="15"/>
      <c r="I41" s="15"/>
    </row>
    <row r="42" spans="3:9" x14ac:dyDescent="0.25">
      <c r="C42" s="52" t="str">
        <f>+IF(Tabla4[[#This Row],[FECHA]]&gt;=$B$2,1,"")</f>
        <v/>
      </c>
      <c r="D42" s="16"/>
      <c r="E42" s="16"/>
      <c r="F42" s="15"/>
      <c r="G42" s="15"/>
      <c r="H42" s="15"/>
      <c r="I42" s="15"/>
    </row>
    <row r="43" spans="3:9" x14ac:dyDescent="0.25">
      <c r="C43" s="52" t="str">
        <f>+IF(Tabla4[[#This Row],[FECHA]]&gt;=$B$2,1,"")</f>
        <v/>
      </c>
      <c r="D43" s="16"/>
      <c r="E43" s="16"/>
      <c r="F43" s="15"/>
      <c r="G43" s="15"/>
      <c r="H43" s="15"/>
      <c r="I43" s="15"/>
    </row>
    <row r="44" spans="3:9" x14ac:dyDescent="0.25">
      <c r="C44" s="52" t="str">
        <f>+IF(Tabla4[[#This Row],[FECHA]]&gt;=$B$2,1,"")</f>
        <v/>
      </c>
      <c r="D44" s="16"/>
      <c r="E44" s="16"/>
      <c r="F44" s="15"/>
      <c r="G44" s="15"/>
      <c r="H44" s="15"/>
      <c r="I44" s="15"/>
    </row>
    <row r="45" spans="3:9" x14ac:dyDescent="0.25">
      <c r="C45" s="52" t="str">
        <f>+IF(Tabla4[[#This Row],[FECHA]]&gt;=$B$2,1,"")</f>
        <v/>
      </c>
      <c r="D45" s="16"/>
      <c r="E45" s="16"/>
      <c r="F45" s="15"/>
      <c r="G45" s="15"/>
      <c r="H45" s="15"/>
      <c r="I45" s="15"/>
    </row>
    <row r="46" spans="3:9" x14ac:dyDescent="0.25">
      <c r="C46" s="52" t="str">
        <f>+IF(Tabla4[[#This Row],[FECHA]]&gt;=$B$2,1,"")</f>
        <v/>
      </c>
      <c r="D46" s="16"/>
      <c r="E46" s="16"/>
      <c r="F46" s="15"/>
      <c r="G46" s="15"/>
      <c r="H46" s="15"/>
      <c r="I46" s="15"/>
    </row>
    <row r="47" spans="3:9" x14ac:dyDescent="0.25">
      <c r="C47" s="52" t="str">
        <f>+IF(Tabla4[[#This Row],[FECHA]]&gt;=$B$2,1,"")</f>
        <v/>
      </c>
      <c r="D47" s="16"/>
      <c r="E47" s="16"/>
      <c r="F47" s="15"/>
      <c r="G47" s="15"/>
      <c r="H47" s="15"/>
      <c r="I47" s="15"/>
    </row>
    <row r="48" spans="3:9" x14ac:dyDescent="0.25">
      <c r="C48" s="52" t="str">
        <f>+IF(Tabla4[[#This Row],[FECHA]]&gt;=$B$2,1,"")</f>
        <v/>
      </c>
      <c r="D48" s="16"/>
      <c r="E48" s="16"/>
      <c r="F48" s="15"/>
      <c r="G48" s="15"/>
      <c r="H48" s="15"/>
      <c r="I48" s="15"/>
    </row>
    <row r="49" spans="3:9" x14ac:dyDescent="0.25">
      <c r="C49" s="52" t="str">
        <f>+IF(Tabla4[[#This Row],[FECHA]]&gt;=$B$2,1,"")</f>
        <v/>
      </c>
      <c r="D49" s="16"/>
      <c r="E49" s="16"/>
      <c r="F49" s="15"/>
      <c r="G49" s="15"/>
      <c r="H49" s="15"/>
      <c r="I49" s="15"/>
    </row>
    <row r="50" spans="3:9" x14ac:dyDescent="0.25">
      <c r="C50" s="52" t="str">
        <f>+IF(Tabla4[[#This Row],[FECHA]]&gt;=$B$2,1,"")</f>
        <v/>
      </c>
      <c r="D50" s="16"/>
      <c r="E50" s="16"/>
      <c r="F50" s="15"/>
      <c r="G50" s="15"/>
      <c r="H50" s="15"/>
      <c r="I50" s="15"/>
    </row>
    <row r="51" spans="3:9" x14ac:dyDescent="0.25">
      <c r="C51" s="52" t="str">
        <f>+IF(Tabla4[[#This Row],[FECHA]]&gt;=$B$2,1,"")</f>
        <v/>
      </c>
      <c r="D51" s="16"/>
      <c r="E51" s="16"/>
      <c r="F51" s="15"/>
      <c r="G51" s="15"/>
      <c r="H51" s="15"/>
      <c r="I51" s="15"/>
    </row>
    <row r="52" spans="3:9" x14ac:dyDescent="0.25">
      <c r="C52" s="52" t="str">
        <f>+IF(Tabla4[[#This Row],[FECHA]]&gt;=$B$2,1,"")</f>
        <v/>
      </c>
      <c r="D52" s="16"/>
      <c r="E52" s="16"/>
      <c r="F52" s="15"/>
      <c r="G52" s="15"/>
      <c r="H52" s="15"/>
      <c r="I52" s="15"/>
    </row>
    <row r="53" spans="3:9" x14ac:dyDescent="0.25">
      <c r="C53" s="52" t="str">
        <f>+IF(Tabla4[[#This Row],[FECHA]]&gt;=$B$2,1,"")</f>
        <v/>
      </c>
      <c r="D53" s="16"/>
      <c r="E53" s="16"/>
      <c r="F53" s="15"/>
      <c r="G53" s="15"/>
      <c r="H53" s="15"/>
      <c r="I53" s="15"/>
    </row>
    <row r="54" spans="3:9" x14ac:dyDescent="0.25">
      <c r="C54" s="52" t="str">
        <f>+IF(Tabla4[[#This Row],[FECHA]]&gt;=$B$2,1,"")</f>
        <v/>
      </c>
      <c r="D54" s="16"/>
      <c r="E54" s="16"/>
      <c r="F54" s="15"/>
      <c r="G54" s="15"/>
      <c r="H54" s="15"/>
      <c r="I54" s="15"/>
    </row>
    <row r="55" spans="3:9" x14ac:dyDescent="0.25">
      <c r="C55" s="52" t="str">
        <f>+IF(Tabla4[[#This Row],[FECHA]]&gt;=$B$2,1,"")</f>
        <v/>
      </c>
      <c r="D55" s="16"/>
      <c r="E55" s="16"/>
      <c r="F55" s="15"/>
      <c r="G55" s="15"/>
      <c r="H55" s="15"/>
      <c r="I55" s="15"/>
    </row>
    <row r="56" spans="3:9" x14ac:dyDescent="0.25">
      <c r="C56" s="52" t="str">
        <f>+IF(Tabla4[[#This Row],[FECHA]]&gt;=$B$2,1,"")</f>
        <v/>
      </c>
      <c r="D56" s="16"/>
      <c r="E56" s="16"/>
      <c r="F56" s="15"/>
      <c r="G56" s="15"/>
      <c r="H56" s="15"/>
      <c r="I56" s="15"/>
    </row>
    <row r="57" spans="3:9" x14ac:dyDescent="0.25">
      <c r="C57" s="52" t="str">
        <f>+IF(Tabla4[[#This Row],[FECHA]]&gt;=$B$2,1,"")</f>
        <v/>
      </c>
      <c r="D57" s="16"/>
      <c r="E57" s="16"/>
      <c r="F57" s="15"/>
      <c r="G57" s="15"/>
      <c r="H57" s="15"/>
      <c r="I57" s="15"/>
    </row>
    <row r="58" spans="3:9" x14ac:dyDescent="0.25">
      <c r="C58" s="52" t="str">
        <f>+IF(Tabla4[[#This Row],[FECHA]]&gt;=$B$2,1,"")</f>
        <v/>
      </c>
      <c r="D58" s="16"/>
      <c r="E58" s="16"/>
      <c r="F58" s="15"/>
      <c r="G58" s="15"/>
      <c r="H58" s="15"/>
      <c r="I58" s="15"/>
    </row>
    <row r="59" spans="3:9" x14ac:dyDescent="0.25">
      <c r="C59" s="52" t="str">
        <f>+IF(Tabla4[[#This Row],[FECHA]]&gt;=$B$2,1,"")</f>
        <v/>
      </c>
      <c r="D59" s="16"/>
      <c r="E59" s="16"/>
      <c r="F59" s="15"/>
      <c r="G59" s="15"/>
      <c r="H59" s="15"/>
      <c r="I59" s="15"/>
    </row>
    <row r="60" spans="3:9" x14ac:dyDescent="0.25">
      <c r="C60" s="52" t="str">
        <f>+IF(Tabla4[[#This Row],[FECHA]]&gt;=$B$2,1,"")</f>
        <v/>
      </c>
      <c r="D60" s="16"/>
      <c r="E60" s="16"/>
      <c r="F60" s="15"/>
      <c r="G60" s="15"/>
      <c r="H60" s="15"/>
      <c r="I60" s="15"/>
    </row>
    <row r="61" spans="3:9" x14ac:dyDescent="0.25">
      <c r="C61" s="52" t="str">
        <f>+IF(Tabla4[[#This Row],[FECHA]]&gt;=$B$2,1,"")</f>
        <v/>
      </c>
      <c r="D61" s="16"/>
      <c r="E61" s="16"/>
      <c r="F61" s="15"/>
      <c r="G61" s="15"/>
      <c r="H61" s="15"/>
      <c r="I61" s="15"/>
    </row>
    <row r="62" spans="3:9" x14ac:dyDescent="0.25">
      <c r="C62" s="52" t="str">
        <f>+IF(Tabla4[[#This Row],[FECHA]]&gt;=$B$2,1,"")</f>
        <v/>
      </c>
      <c r="D62" s="16"/>
      <c r="E62" s="16"/>
      <c r="F62" s="15"/>
      <c r="G62" s="15"/>
      <c r="H62" s="15"/>
      <c r="I62" s="15"/>
    </row>
    <row r="63" spans="3:9" x14ac:dyDescent="0.25">
      <c r="C63" s="52" t="str">
        <f>+IF(Tabla4[[#This Row],[FECHA]]&gt;=$B$2,1,"")</f>
        <v/>
      </c>
      <c r="D63" s="16"/>
      <c r="E63" s="16"/>
      <c r="F63" s="15"/>
      <c r="G63" s="15"/>
      <c r="H63" s="15"/>
      <c r="I63" s="15"/>
    </row>
    <row r="64" spans="3:9" x14ac:dyDescent="0.25">
      <c r="C64" s="52" t="str">
        <f>+IF(Tabla4[[#This Row],[FECHA]]&gt;=$B$2,1,"")</f>
        <v/>
      </c>
      <c r="D64" s="16"/>
      <c r="E64" s="16"/>
      <c r="F64" s="15"/>
      <c r="G64" s="15"/>
      <c r="H64" s="15"/>
      <c r="I64" s="15"/>
    </row>
    <row r="65" spans="3:9" x14ac:dyDescent="0.25">
      <c r="C65" s="52" t="str">
        <f>+IF(Tabla4[[#This Row],[FECHA]]&gt;=$B$2,1,"")</f>
        <v/>
      </c>
      <c r="D65" s="16"/>
      <c r="E65" s="16"/>
      <c r="F65" s="15"/>
      <c r="G65" s="15"/>
      <c r="H65" s="15"/>
      <c r="I65" s="15"/>
    </row>
    <row r="66" spans="3:9" x14ac:dyDescent="0.25">
      <c r="C66" s="52" t="str">
        <f>+IF(Tabla4[[#This Row],[FECHA]]&gt;=$B$2,1,"")</f>
        <v/>
      </c>
      <c r="D66" s="16"/>
      <c r="E66" s="16"/>
      <c r="F66" s="15"/>
      <c r="G66" s="15"/>
      <c r="H66" s="15"/>
      <c r="I66" s="15"/>
    </row>
    <row r="67" spans="3:9" x14ac:dyDescent="0.25">
      <c r="C67" s="52" t="str">
        <f>+IF(Tabla4[[#This Row],[FECHA]]&gt;=$B$2,1,"")</f>
        <v/>
      </c>
      <c r="D67" s="16"/>
      <c r="E67" s="16"/>
      <c r="F67" s="15"/>
      <c r="G67" s="15"/>
      <c r="H67" s="15"/>
      <c r="I67" s="15"/>
    </row>
    <row r="68" spans="3:9" x14ac:dyDescent="0.25">
      <c r="C68" s="52" t="str">
        <f>+IF(Tabla4[[#This Row],[FECHA]]&gt;=$B$2,1,"")</f>
        <v/>
      </c>
      <c r="D68" s="16"/>
      <c r="E68" s="16"/>
      <c r="F68" s="15"/>
      <c r="G68" s="15"/>
      <c r="H68" s="15"/>
      <c r="I68" s="15"/>
    </row>
    <row r="69" spans="3:9" x14ac:dyDescent="0.25">
      <c r="C69" s="52" t="str">
        <f>+IF(Tabla4[[#This Row],[FECHA]]&gt;=$B$2,1,"")</f>
        <v/>
      </c>
      <c r="D69" s="16"/>
      <c r="E69" s="16"/>
      <c r="F69" s="15"/>
      <c r="G69" s="15"/>
      <c r="H69" s="15"/>
      <c r="I69" s="15"/>
    </row>
    <row r="70" spans="3:9" x14ac:dyDescent="0.25">
      <c r="C70" s="52" t="str">
        <f>+IF(Tabla4[[#This Row],[FECHA]]&gt;=$B$2,1,"")</f>
        <v/>
      </c>
      <c r="D70" s="16"/>
      <c r="E70" s="16"/>
      <c r="F70" s="15"/>
      <c r="G70" s="15"/>
      <c r="H70" s="15"/>
      <c r="I70" s="15"/>
    </row>
    <row r="71" spans="3:9" x14ac:dyDescent="0.25">
      <c r="C71" s="52" t="str">
        <f>+IF(Tabla4[[#This Row],[FECHA]]&gt;=$B$2,1,"")</f>
        <v/>
      </c>
      <c r="D71" s="16"/>
      <c r="E71" s="16"/>
      <c r="F71" s="15"/>
      <c r="G71" s="15"/>
      <c r="H71" s="15"/>
      <c r="I71" s="15"/>
    </row>
    <row r="72" spans="3:9" x14ac:dyDescent="0.25">
      <c r="C72" s="52" t="str">
        <f>+IF(Tabla4[[#This Row],[FECHA]]&gt;=$B$2,1,"")</f>
        <v/>
      </c>
      <c r="D72" s="16"/>
      <c r="E72" s="16"/>
      <c r="F72" s="15"/>
      <c r="G72" s="15"/>
      <c r="H72" s="15"/>
      <c r="I72" s="15"/>
    </row>
    <row r="73" spans="3:9" x14ac:dyDescent="0.25">
      <c r="C73" s="52" t="str">
        <f>+IF(Tabla4[[#This Row],[FECHA]]&gt;=$B$2,1,"")</f>
        <v/>
      </c>
      <c r="D73" s="16"/>
      <c r="E73" s="16"/>
      <c r="F73" s="15"/>
      <c r="G73" s="15"/>
      <c r="H73" s="15"/>
      <c r="I73" s="15"/>
    </row>
    <row r="74" spans="3:9" x14ac:dyDescent="0.25">
      <c r="C74" s="52" t="str">
        <f>+IF(Tabla4[[#This Row],[FECHA]]&gt;=$B$2,1,"")</f>
        <v/>
      </c>
      <c r="D74" s="16"/>
      <c r="E74" s="16"/>
      <c r="F74" s="15"/>
      <c r="G74" s="15"/>
      <c r="H74" s="15"/>
      <c r="I74" s="15"/>
    </row>
    <row r="75" spans="3:9" x14ac:dyDescent="0.25">
      <c r="C75" s="52" t="str">
        <f>+IF(Tabla4[[#This Row],[FECHA]]&gt;=$B$2,1,"")</f>
        <v/>
      </c>
      <c r="D75" s="16"/>
      <c r="E75" s="16"/>
      <c r="F75" s="15"/>
      <c r="G75" s="15"/>
      <c r="H75" s="15"/>
      <c r="I75" s="15"/>
    </row>
    <row r="76" spans="3:9" x14ac:dyDescent="0.25">
      <c r="C76" s="52" t="str">
        <f>+IF(Tabla4[[#This Row],[FECHA]]&gt;=$B$2,1,"")</f>
        <v/>
      </c>
      <c r="D76" s="16"/>
      <c r="E76" s="16"/>
      <c r="F76" s="15"/>
      <c r="G76" s="15"/>
      <c r="H76" s="15"/>
      <c r="I76" s="15"/>
    </row>
    <row r="77" spans="3:9" x14ac:dyDescent="0.25">
      <c r="C77" s="52" t="str">
        <f>+IF(Tabla4[[#This Row],[FECHA]]&gt;=$B$2,1,"")</f>
        <v/>
      </c>
      <c r="D77" s="16"/>
      <c r="E77" s="16"/>
      <c r="F77" s="15"/>
      <c r="G77" s="15"/>
      <c r="H77" s="15"/>
      <c r="I77" s="15"/>
    </row>
    <row r="78" spans="3:9" x14ac:dyDescent="0.25">
      <c r="C78" s="52" t="str">
        <f>+IF(Tabla4[[#This Row],[FECHA]]&gt;=$B$2,1,"")</f>
        <v/>
      </c>
      <c r="D78" s="16"/>
      <c r="E78" s="16"/>
      <c r="F78" s="15"/>
      <c r="G78" s="15"/>
      <c r="H78" s="15"/>
      <c r="I78" s="15"/>
    </row>
    <row r="79" spans="3:9" x14ac:dyDescent="0.25">
      <c r="C79" s="52" t="str">
        <f>+IF(Tabla4[[#This Row],[FECHA]]&gt;=$B$2,1,"")</f>
        <v/>
      </c>
      <c r="D79" s="16"/>
      <c r="E79" s="16"/>
      <c r="F79" s="15"/>
      <c r="G79" s="15"/>
      <c r="H79" s="15"/>
      <c r="I79" s="15"/>
    </row>
    <row r="80" spans="3:9" x14ac:dyDescent="0.25">
      <c r="C80" s="52" t="str">
        <f>+IF(Tabla4[[#This Row],[FECHA]]&gt;=$B$2,1,"")</f>
        <v/>
      </c>
      <c r="D80" s="16"/>
      <c r="E80" s="16"/>
      <c r="F80" s="15"/>
      <c r="G80" s="15"/>
      <c r="H80" s="15"/>
      <c r="I80" s="15"/>
    </row>
    <row r="81" spans="3:9" x14ac:dyDescent="0.25">
      <c r="C81" s="52" t="str">
        <f>+IF(Tabla4[[#This Row],[FECHA]]&gt;=$B$2,1,"")</f>
        <v/>
      </c>
      <c r="D81" s="16"/>
      <c r="E81" s="16"/>
      <c r="F81" s="15"/>
      <c r="G81" s="15"/>
      <c r="H81" s="15"/>
      <c r="I81" s="15"/>
    </row>
    <row r="82" spans="3:9" x14ac:dyDescent="0.25">
      <c r="C82" s="52" t="str">
        <f>+IF(Tabla4[[#This Row],[FECHA]]&gt;=$B$2,1,"")</f>
        <v/>
      </c>
      <c r="D82" s="16"/>
      <c r="E82" s="16"/>
      <c r="F82" s="15"/>
      <c r="G82" s="15"/>
      <c r="H82" s="15"/>
      <c r="I82" s="15"/>
    </row>
    <row r="83" spans="3:9" x14ac:dyDescent="0.25">
      <c r="C83" s="52" t="str">
        <f>+IF(Tabla4[[#This Row],[FECHA]]&gt;=$B$2,1,"")</f>
        <v/>
      </c>
      <c r="D83" s="16"/>
      <c r="E83" s="16"/>
      <c r="F83" s="15"/>
      <c r="G83" s="15"/>
      <c r="H83" s="15"/>
      <c r="I83" s="15"/>
    </row>
    <row r="84" spans="3:9" x14ac:dyDescent="0.25">
      <c r="C84" s="52" t="str">
        <f>+IF(Tabla4[[#This Row],[FECHA]]&gt;=$B$2,1,"")</f>
        <v/>
      </c>
      <c r="D84" s="16"/>
      <c r="E84" s="16"/>
      <c r="F84" s="15"/>
      <c r="G84" s="15"/>
      <c r="H84" s="15"/>
      <c r="I84" s="15"/>
    </row>
    <row r="85" spans="3:9" x14ac:dyDescent="0.25">
      <c r="C85" s="52" t="str">
        <f>+IF(Tabla4[[#This Row],[FECHA]]&gt;=$B$2,1,"")</f>
        <v/>
      </c>
      <c r="D85" s="16"/>
      <c r="E85" s="16"/>
      <c r="F85" s="15"/>
      <c r="G85" s="15"/>
      <c r="H85" s="15"/>
      <c r="I85" s="15"/>
    </row>
    <row r="86" spans="3:9" x14ac:dyDescent="0.25">
      <c r="C86" s="52" t="str">
        <f>+IF(Tabla4[[#This Row],[FECHA]]&gt;=$B$2,1,"")</f>
        <v/>
      </c>
      <c r="D86" s="16"/>
      <c r="E86" s="16"/>
      <c r="F86" s="15"/>
      <c r="G86" s="15"/>
      <c r="H86" s="15"/>
      <c r="I86" s="15"/>
    </row>
    <row r="87" spans="3:9" x14ac:dyDescent="0.25">
      <c r="C87" s="52" t="str">
        <f>+IF(Tabla4[[#This Row],[FECHA]]&gt;=$B$2,1,"")</f>
        <v/>
      </c>
      <c r="D87" s="16"/>
      <c r="E87" s="16"/>
      <c r="F87" s="15"/>
      <c r="G87" s="15"/>
      <c r="H87" s="15"/>
      <c r="I87" s="15"/>
    </row>
    <row r="88" spans="3:9" x14ac:dyDescent="0.25">
      <c r="C88" s="52" t="str">
        <f>+IF(Tabla4[[#This Row],[FECHA]]&gt;=$B$2,1,"")</f>
        <v/>
      </c>
      <c r="D88" s="36"/>
      <c r="E88" s="36"/>
      <c r="F88" s="15"/>
      <c r="G88" s="15"/>
      <c r="H88" s="15"/>
      <c r="I88" s="15"/>
    </row>
    <row r="89" spans="3:9" x14ac:dyDescent="0.25">
      <c r="C89" s="52" t="str">
        <f>+IF(Tabla4[[#This Row],[FECHA]]&gt;=$B$2,1,"")</f>
        <v/>
      </c>
      <c r="D89" s="36"/>
      <c r="E89" s="36"/>
      <c r="F89" s="15"/>
      <c r="G89" s="15"/>
      <c r="H89" s="15"/>
      <c r="I89" s="15"/>
    </row>
    <row r="90" spans="3:9" x14ac:dyDescent="0.25">
      <c r="C90" s="52" t="str">
        <f>+IF(Tabla4[[#This Row],[FECHA]]&gt;=$B$2,1,"")</f>
        <v/>
      </c>
      <c r="D90" s="37"/>
      <c r="E90" s="37"/>
      <c r="F90" s="31"/>
      <c r="G90" s="31"/>
      <c r="H90" s="31"/>
      <c r="I90" s="31"/>
    </row>
    <row r="91" spans="3:9" x14ac:dyDescent="0.25">
      <c r="C91" s="52" t="str">
        <f>+IF(Tabla4[[#This Row],[FECHA]]&gt;=$B$2,1,"")</f>
        <v/>
      </c>
      <c r="D91" s="38"/>
      <c r="E91" s="38"/>
      <c r="F91" s="45"/>
      <c r="G91" s="45"/>
      <c r="H91" s="45"/>
      <c r="I91" s="18"/>
    </row>
    <row r="92" spans="3:9" x14ac:dyDescent="0.25">
      <c r="C92" s="52" t="str">
        <f>+IF(Tabla4[[#This Row],[FECHA]]&gt;=$B$2,1,"")</f>
        <v/>
      </c>
      <c r="D92" s="38"/>
      <c r="E92" s="38"/>
      <c r="F92" s="18"/>
      <c r="G92" s="18"/>
      <c r="H92" s="18"/>
      <c r="I92" s="18"/>
    </row>
    <row r="93" spans="3:9" x14ac:dyDescent="0.25">
      <c r="C93" s="52" t="str">
        <f>+IF(Tabla4[[#This Row],[FECHA]]&gt;=$B$2,1,"")</f>
        <v/>
      </c>
      <c r="D93" s="38"/>
      <c r="E93" s="38"/>
      <c r="F93" s="18"/>
      <c r="G93" s="18"/>
      <c r="H93" s="18"/>
      <c r="I93" s="18"/>
    </row>
    <row r="94" spans="3:9" x14ac:dyDescent="0.25">
      <c r="C94" s="52" t="str">
        <f>+IF(Tabla4[[#This Row],[FECHA]]&gt;=$B$2,1,"")</f>
        <v/>
      </c>
      <c r="D94" s="38"/>
      <c r="E94" s="38"/>
      <c r="F94" s="18"/>
      <c r="G94" s="18"/>
      <c r="H94" s="18"/>
      <c r="I94" s="18"/>
    </row>
    <row r="95" spans="3:9" x14ac:dyDescent="0.25">
      <c r="C95" s="52" t="str">
        <f>+IF(Tabla4[[#This Row],[FECHA]]&gt;=$B$2,1,"")</f>
        <v/>
      </c>
      <c r="D95" s="17"/>
      <c r="E95" s="17"/>
      <c r="F95" s="18"/>
      <c r="G95" s="18"/>
      <c r="H95" s="18"/>
      <c r="I95" s="18"/>
    </row>
    <row r="96" spans="3:9" x14ac:dyDescent="0.25">
      <c r="C96" s="52" t="str">
        <f>+IF(Tabla4[[#This Row],[FECHA]]&gt;=$B$2,1,"")</f>
        <v/>
      </c>
      <c r="D96" s="17"/>
      <c r="E96" s="17"/>
      <c r="F96" s="18"/>
      <c r="G96" s="18"/>
      <c r="H96" s="18"/>
      <c r="I96" s="18"/>
    </row>
    <row r="97" spans="3:9" x14ac:dyDescent="0.25">
      <c r="C97" s="52" t="str">
        <f>+IF(Tabla4[[#This Row],[FECHA]]&gt;=$B$2,1,"")</f>
        <v/>
      </c>
      <c r="D97" s="17"/>
      <c r="E97" s="17"/>
      <c r="F97" s="18"/>
      <c r="G97" s="18"/>
      <c r="H97" s="18"/>
      <c r="I97" s="18"/>
    </row>
    <row r="98" spans="3:9" x14ac:dyDescent="0.25">
      <c r="C98" s="52" t="str">
        <f>+IF(Tabla4[[#This Row],[FECHA]]&gt;=$B$2,1,"")</f>
        <v/>
      </c>
      <c r="D98" s="16"/>
      <c r="E98" s="16"/>
      <c r="F98" s="15"/>
      <c r="G98" s="15"/>
      <c r="H98" s="15"/>
      <c r="I98" s="15"/>
    </row>
    <row r="99" spans="3:9" x14ac:dyDescent="0.25">
      <c r="C99" s="52" t="str">
        <f>+IF(Tabla4[[#This Row],[FECHA]]&gt;=$B$2,1,"")</f>
        <v/>
      </c>
      <c r="D99" s="16"/>
      <c r="E99" s="16"/>
      <c r="F99" s="15"/>
      <c r="G99" s="15"/>
      <c r="H99" s="15"/>
      <c r="I99" s="15"/>
    </row>
    <row r="100" spans="3:9" x14ac:dyDescent="0.25">
      <c r="C100" s="52" t="str">
        <f>+IF(Tabla4[[#This Row],[FECHA]]&gt;=$B$2,1,"")</f>
        <v/>
      </c>
      <c r="D100" s="16"/>
      <c r="E100" s="16"/>
      <c r="F100" s="15"/>
      <c r="G100" s="15"/>
      <c r="H100" s="15"/>
      <c r="I100" s="15"/>
    </row>
    <row r="101" spans="3:9" x14ac:dyDescent="0.25">
      <c r="C101" s="52" t="str">
        <f>+IF(Tabla4[[#This Row],[FECHA]]&gt;=$B$2,1,"")</f>
        <v/>
      </c>
      <c r="D101" s="16"/>
      <c r="E101" s="16"/>
      <c r="F101" s="15"/>
      <c r="G101" s="15"/>
      <c r="H101" s="15"/>
      <c r="I101" s="15"/>
    </row>
    <row r="102" spans="3:9" x14ac:dyDescent="0.25">
      <c r="C102" s="52" t="str">
        <f>+IF(Tabla4[[#This Row],[FECHA]]&gt;=$B$2,1,"")</f>
        <v/>
      </c>
      <c r="D102" s="16"/>
      <c r="E102" s="16"/>
      <c r="F102" s="15"/>
      <c r="G102" s="15"/>
      <c r="H102" s="15"/>
      <c r="I102" s="15"/>
    </row>
    <row r="103" spans="3:9" x14ac:dyDescent="0.25">
      <c r="C103" s="52" t="str">
        <f>+IF(Tabla4[[#This Row],[FECHA]]&gt;=$B$2,1,"")</f>
        <v/>
      </c>
      <c r="D103" s="16"/>
      <c r="E103" s="16"/>
      <c r="F103" s="15"/>
      <c r="G103" s="15"/>
      <c r="H103" s="15"/>
      <c r="I103" s="15"/>
    </row>
    <row r="104" spans="3:9" x14ac:dyDescent="0.25">
      <c r="C104" s="52" t="str">
        <f>+IF(Tabla4[[#This Row],[FECHA]]&gt;=$B$2,1,"")</f>
        <v/>
      </c>
      <c r="D104" s="16"/>
      <c r="E104" s="16"/>
      <c r="F104" s="15"/>
      <c r="G104" s="15"/>
      <c r="H104" s="15"/>
      <c r="I104" s="15"/>
    </row>
    <row r="105" spans="3:9" x14ac:dyDescent="0.25">
      <c r="C105" s="52" t="str">
        <f>+IF(Tabla4[[#This Row],[FECHA]]&gt;=$B$2,1,"")</f>
        <v/>
      </c>
      <c r="D105" s="16"/>
      <c r="E105" s="16"/>
      <c r="F105" s="15"/>
      <c r="G105" s="15"/>
      <c r="H105" s="15"/>
      <c r="I105" s="15"/>
    </row>
    <row r="106" spans="3:9" x14ac:dyDescent="0.25">
      <c r="C106" s="52" t="str">
        <f>+IF(Tabla4[[#This Row],[FECHA]]&gt;=$B$2,1,"")</f>
        <v/>
      </c>
      <c r="D106" s="16"/>
      <c r="E106" s="16"/>
      <c r="F106" s="15"/>
      <c r="G106" s="15"/>
      <c r="H106" s="15"/>
      <c r="I106" s="15"/>
    </row>
    <row r="107" spans="3:9" x14ac:dyDescent="0.25">
      <c r="C107" s="52" t="str">
        <f>+IF(Tabla4[[#This Row],[FECHA]]&gt;=$B$2,1,"")</f>
        <v/>
      </c>
      <c r="D107" s="21"/>
      <c r="E107" s="21"/>
      <c r="F107" s="22"/>
      <c r="G107" s="22"/>
      <c r="H107" s="22"/>
      <c r="I107" s="22"/>
    </row>
    <row r="108" spans="3:9" x14ac:dyDescent="0.25">
      <c r="C108" s="52" t="str">
        <f>+IF(Tabla4[[#This Row],[FECHA]]&gt;=$B$2,1,"")</f>
        <v/>
      </c>
      <c r="D108" s="16"/>
      <c r="E108" s="16"/>
      <c r="F108" s="15"/>
      <c r="G108" s="15"/>
      <c r="H108" s="15"/>
      <c r="I108" s="15"/>
    </row>
    <row r="109" spans="3:9" x14ac:dyDescent="0.25">
      <c r="C109" s="52" t="str">
        <f>+IF(Tabla4[[#This Row],[FECHA]]&gt;=$B$2,1,"")</f>
        <v/>
      </c>
      <c r="D109" s="16"/>
      <c r="E109" s="16"/>
      <c r="F109" s="15"/>
      <c r="G109" s="15"/>
      <c r="H109" s="15"/>
      <c r="I109" s="15"/>
    </row>
    <row r="110" spans="3:9" x14ac:dyDescent="0.25">
      <c r="C110" s="52" t="str">
        <f>+IF(Tabla4[[#This Row],[FECHA]]&gt;=$B$2,1,"")</f>
        <v/>
      </c>
      <c r="D110" s="16"/>
      <c r="E110" s="16"/>
      <c r="F110" s="15"/>
      <c r="G110" s="15"/>
      <c r="H110" s="15"/>
      <c r="I110" s="15"/>
    </row>
    <row r="111" spans="3:9" x14ac:dyDescent="0.25">
      <c r="C111" s="52" t="str">
        <f>+IF(Tabla4[[#This Row],[FECHA]]&gt;=$B$2,1,"")</f>
        <v/>
      </c>
      <c r="D111" s="21"/>
      <c r="E111" s="21"/>
      <c r="F111" s="22"/>
      <c r="G111" s="22"/>
      <c r="H111" s="22"/>
      <c r="I111" s="22"/>
    </row>
    <row r="112" spans="3:9" x14ac:dyDescent="0.25">
      <c r="C112" s="52" t="str">
        <f>+IF(Tabla4[[#This Row],[FECHA]]&gt;=$B$2,1,"")</f>
        <v/>
      </c>
      <c r="D112" s="16"/>
      <c r="E112" s="16"/>
      <c r="F112" s="9"/>
      <c r="G112" s="9"/>
      <c r="H112" s="15"/>
      <c r="I112" s="15"/>
    </row>
    <row r="113" spans="3:9" x14ac:dyDescent="0.25">
      <c r="C113" s="52" t="str">
        <f>+IF(Tabla4[[#This Row],[FECHA]]&gt;=$B$2,1,"")</f>
        <v/>
      </c>
      <c r="D113" s="16"/>
      <c r="E113" s="16"/>
      <c r="F113" s="3"/>
      <c r="G113" s="9"/>
      <c r="H113" s="15"/>
      <c r="I113" s="15"/>
    </row>
    <row r="114" spans="3:9" x14ac:dyDescent="0.25">
      <c r="C114" s="52" t="str">
        <f>+IF(Tabla4[[#This Row],[FECHA]]&gt;=$B$2,1,"")</f>
        <v/>
      </c>
      <c r="D114" s="16"/>
      <c r="E114" s="16"/>
      <c r="F114" s="9"/>
      <c r="G114" s="9"/>
      <c r="H114" s="15"/>
      <c r="I114" s="15"/>
    </row>
    <row r="115" spans="3:9" x14ac:dyDescent="0.25">
      <c r="C115" s="52" t="str">
        <f>+IF(Tabla4[[#This Row],[FECHA]]&gt;=$B$2,1,"")</f>
        <v/>
      </c>
      <c r="D115" s="17"/>
      <c r="E115" s="17"/>
      <c r="F115" s="18"/>
      <c r="G115" s="18"/>
      <c r="H115" s="18"/>
      <c r="I115" s="18"/>
    </row>
    <row r="116" spans="3:9" x14ac:dyDescent="0.25">
      <c r="C116" s="52" t="str">
        <f>+IF(Tabla4[[#This Row],[FECHA]]&gt;=$B$2,1,"")</f>
        <v/>
      </c>
      <c r="D116" s="19"/>
      <c r="E116" s="19"/>
      <c r="F116" s="20"/>
      <c r="G116" s="20"/>
      <c r="H116" s="20"/>
      <c r="I116" s="20"/>
    </row>
    <row r="117" spans="3:9" x14ac:dyDescent="0.25">
      <c r="C117" s="52" t="str">
        <f>+IF(Tabla4[[#This Row],[FECHA]]&gt;=$B$2,1,"")</f>
        <v/>
      </c>
      <c r="D117" s="19"/>
      <c r="E117" s="19"/>
      <c r="F117" s="20"/>
      <c r="G117" s="20"/>
      <c r="H117" s="20"/>
      <c r="I117" s="20"/>
    </row>
    <row r="118" spans="3:9" x14ac:dyDescent="0.25">
      <c r="C118" s="52" t="str">
        <f>+IF(Tabla4[[#This Row],[FECHA]]&gt;=$B$2,1,"")</f>
        <v/>
      </c>
      <c r="D118" s="19"/>
      <c r="E118" s="19"/>
      <c r="F118" s="18"/>
      <c r="G118" s="18"/>
      <c r="H118" s="18"/>
      <c r="I118" s="18"/>
    </row>
    <row r="119" spans="3:9" x14ac:dyDescent="0.25">
      <c r="C119" s="52" t="str">
        <f>+IF(Tabla4[[#This Row],[FECHA]]&gt;=$B$2,1,"")</f>
        <v/>
      </c>
      <c r="D119" s="19"/>
      <c r="E119" s="19"/>
      <c r="F119" s="20"/>
      <c r="G119" s="20"/>
      <c r="H119" s="20"/>
      <c r="I119" s="20"/>
    </row>
    <row r="120" spans="3:9" x14ac:dyDescent="0.25">
      <c r="C120" s="52" t="str">
        <f>+IF(Tabla4[[#This Row],[FECHA]]&gt;=$B$2,1,"")</f>
        <v/>
      </c>
      <c r="D120" s="19"/>
      <c r="E120" s="19"/>
      <c r="F120" s="18"/>
      <c r="G120" s="18"/>
      <c r="H120" s="18"/>
      <c r="I120" s="18"/>
    </row>
    <row r="121" spans="3:9" x14ac:dyDescent="0.25">
      <c r="C121" s="52" t="str">
        <f>+IF(Tabla4[[#This Row],[FECHA]]&gt;=$B$2,1,"")</f>
        <v/>
      </c>
      <c r="D121" s="19"/>
      <c r="E121" s="19"/>
      <c r="F121" s="20"/>
      <c r="G121" s="20"/>
      <c r="H121" s="20"/>
      <c r="I121" s="20"/>
    </row>
    <row r="122" spans="3:9" x14ac:dyDescent="0.25">
      <c r="C122" s="52" t="str">
        <f>+IF(Tabla4[[#This Row],[FECHA]]&gt;=$B$2,1,"")</f>
        <v/>
      </c>
      <c r="D122" s="19"/>
      <c r="E122" s="19"/>
      <c r="F122" s="18"/>
      <c r="G122" s="18"/>
      <c r="H122" s="18"/>
      <c r="I122" s="18"/>
    </row>
    <row r="123" spans="3:9" x14ac:dyDescent="0.25">
      <c r="C123" s="52" t="str">
        <f>+IF(Tabla4[[#This Row],[FECHA]]&gt;=$B$2,1,"")</f>
        <v/>
      </c>
      <c r="D123" s="19"/>
      <c r="E123" s="19"/>
      <c r="F123" s="18"/>
      <c r="G123" s="18"/>
      <c r="H123" s="18"/>
      <c r="I123" s="18"/>
    </row>
    <row r="124" spans="3:9" x14ac:dyDescent="0.25">
      <c r="C124" s="52" t="str">
        <f>+IF(Tabla4[[#This Row],[FECHA]]&gt;=$B$2,1,"")</f>
        <v/>
      </c>
      <c r="D124" s="19"/>
      <c r="E124" s="19"/>
      <c r="F124" s="18"/>
      <c r="G124" s="18"/>
      <c r="H124" s="18"/>
      <c r="I124" s="18"/>
    </row>
    <row r="125" spans="3:9" x14ac:dyDescent="0.25">
      <c r="C125" s="52" t="str">
        <f>+IF(Tabla4[[#This Row],[FECHA]]&gt;=$B$2,1,"")</f>
        <v/>
      </c>
      <c r="D125" s="19"/>
      <c r="E125" s="19"/>
      <c r="F125" s="18"/>
      <c r="G125" s="18"/>
      <c r="H125" s="18"/>
      <c r="I125" s="18"/>
    </row>
    <row r="126" spans="3:9" x14ac:dyDescent="0.25">
      <c r="C126" s="52" t="str">
        <f>+IF(Tabla4[[#This Row],[FECHA]]&gt;=$B$2,1,"")</f>
        <v/>
      </c>
      <c r="D126" s="17"/>
      <c r="E126" s="17"/>
      <c r="F126" s="18"/>
      <c r="G126" s="18"/>
      <c r="H126" s="18"/>
      <c r="I126" s="18"/>
    </row>
    <row r="127" spans="3:9" x14ac:dyDescent="0.25">
      <c r="C127" s="53"/>
      <c r="D127" s="41"/>
      <c r="E127" s="41"/>
    </row>
    <row r="128" spans="3:9" x14ac:dyDescent="0.25">
      <c r="C128" s="53"/>
      <c r="D128" s="41"/>
      <c r="E128" s="41"/>
    </row>
    <row r="129" spans="3:5" x14ac:dyDescent="0.25">
      <c r="C129" s="53"/>
      <c r="D129" s="41"/>
      <c r="E129" s="41"/>
    </row>
    <row r="130" spans="3:5" x14ac:dyDescent="0.25">
      <c r="C130" s="53"/>
      <c r="D130" s="41"/>
      <c r="E130" s="41"/>
    </row>
    <row r="131" spans="3:5" x14ac:dyDescent="0.25">
      <c r="C131" s="53"/>
      <c r="D131" s="41"/>
      <c r="E131" s="41"/>
    </row>
    <row r="132" spans="3:5" x14ac:dyDescent="0.25">
      <c r="C132" s="53"/>
      <c r="D132" s="41"/>
      <c r="E132" s="41"/>
    </row>
    <row r="133" spans="3:5" x14ac:dyDescent="0.25">
      <c r="C133" s="53"/>
      <c r="D133" s="41"/>
      <c r="E133" s="41"/>
    </row>
    <row r="134" spans="3:5" x14ac:dyDescent="0.25">
      <c r="C134" s="53"/>
      <c r="D134" s="41"/>
      <c r="E134" s="41"/>
    </row>
    <row r="135" spans="3:5" x14ac:dyDescent="0.25">
      <c r="C135" s="53"/>
      <c r="D135" s="41"/>
      <c r="E135" s="41"/>
    </row>
    <row r="136" spans="3:5" x14ac:dyDescent="0.25">
      <c r="C136" s="53"/>
      <c r="D136" s="41"/>
      <c r="E136" s="41"/>
    </row>
    <row r="137" spans="3:5" x14ac:dyDescent="0.25">
      <c r="C137" s="53"/>
      <c r="D137" s="41"/>
      <c r="E137" s="41"/>
    </row>
    <row r="138" spans="3:5" x14ac:dyDescent="0.25">
      <c r="C138" s="53"/>
      <c r="D138" s="41"/>
      <c r="E138" s="41"/>
    </row>
    <row r="139" spans="3:5" x14ac:dyDescent="0.25">
      <c r="C139" s="53"/>
      <c r="D139" s="41"/>
      <c r="E139" s="41"/>
    </row>
    <row r="140" spans="3:5" x14ac:dyDescent="0.25">
      <c r="C140" s="53"/>
      <c r="D140" s="41"/>
      <c r="E140" s="41"/>
    </row>
    <row r="141" spans="3:5" x14ac:dyDescent="0.25">
      <c r="C141" s="53"/>
      <c r="D141" s="41"/>
      <c r="E141" s="41"/>
    </row>
    <row r="142" spans="3:5" x14ac:dyDescent="0.25">
      <c r="C142" s="53"/>
      <c r="D142" s="41"/>
      <c r="E142" s="41"/>
    </row>
    <row r="143" spans="3:5" x14ac:dyDescent="0.25">
      <c r="C143" s="53"/>
      <c r="D143" s="41"/>
      <c r="E143" s="41"/>
    </row>
    <row r="144" spans="3:5" x14ac:dyDescent="0.25">
      <c r="C144" s="53"/>
      <c r="D144" s="41"/>
      <c r="E144" s="41"/>
    </row>
    <row r="145" spans="3:5" x14ac:dyDescent="0.25">
      <c r="C145" s="53"/>
      <c r="D145" s="41"/>
      <c r="E145" s="41"/>
    </row>
    <row r="146" spans="3:5" x14ac:dyDescent="0.25">
      <c r="C146" s="53"/>
      <c r="D146" s="41"/>
      <c r="E146" s="41"/>
    </row>
    <row r="147" spans="3:5" x14ac:dyDescent="0.25">
      <c r="C147" s="53"/>
      <c r="D147" s="41"/>
      <c r="E147" s="41"/>
    </row>
    <row r="148" spans="3:5" x14ac:dyDescent="0.25">
      <c r="C148" s="53"/>
      <c r="D148" s="41"/>
      <c r="E148" s="41"/>
    </row>
    <row r="149" spans="3:5" x14ac:dyDescent="0.25">
      <c r="C149" s="53"/>
      <c r="D149" s="41"/>
      <c r="E149" s="41"/>
    </row>
    <row r="150" spans="3:5" x14ac:dyDescent="0.25">
      <c r="C150" s="53"/>
      <c r="D150" s="41"/>
      <c r="E150" s="41"/>
    </row>
    <row r="151" spans="3:5" x14ac:dyDescent="0.25">
      <c r="C151" s="53"/>
      <c r="D151" s="41"/>
      <c r="E151" s="41"/>
    </row>
    <row r="152" spans="3:5" x14ac:dyDescent="0.25">
      <c r="C152" s="53"/>
      <c r="D152" s="41"/>
      <c r="E152" s="41"/>
    </row>
    <row r="153" spans="3:5" x14ac:dyDescent="0.25">
      <c r="C153" s="53"/>
      <c r="D153" s="41"/>
      <c r="E153" s="41"/>
    </row>
    <row r="154" spans="3:5" x14ac:dyDescent="0.25">
      <c r="C154" s="53"/>
      <c r="D154" s="41"/>
      <c r="E154" s="41"/>
    </row>
    <row r="155" spans="3:5" x14ac:dyDescent="0.25">
      <c r="C155" s="53"/>
      <c r="D155" s="41"/>
      <c r="E155" s="41"/>
    </row>
    <row r="156" spans="3:5" x14ac:dyDescent="0.25">
      <c r="C156" s="53"/>
      <c r="D156" s="41"/>
      <c r="E156" s="41"/>
    </row>
    <row r="157" spans="3:5" x14ac:dyDescent="0.25">
      <c r="C157" s="53"/>
      <c r="D157" s="41"/>
      <c r="E157" s="41"/>
    </row>
    <row r="158" spans="3:5" x14ac:dyDescent="0.25">
      <c r="C158" s="53"/>
      <c r="D158" s="41"/>
      <c r="E158" s="41"/>
    </row>
    <row r="159" spans="3:5" x14ac:dyDescent="0.25">
      <c r="C159" s="53"/>
      <c r="D159" s="41"/>
      <c r="E159" s="41"/>
    </row>
    <row r="160" spans="3:5" x14ac:dyDescent="0.25">
      <c r="C160" s="53"/>
      <c r="D160" s="41"/>
      <c r="E160" s="41"/>
    </row>
    <row r="161" spans="3:5" x14ac:dyDescent="0.25">
      <c r="C161" s="53"/>
      <c r="D161" s="41"/>
      <c r="E161" s="41"/>
    </row>
    <row r="162" spans="3:5" x14ac:dyDescent="0.25">
      <c r="C162" s="53"/>
      <c r="D162" s="41"/>
      <c r="E162" s="41"/>
    </row>
    <row r="163" spans="3:5" x14ac:dyDescent="0.25">
      <c r="C163" s="53"/>
      <c r="D163" s="41"/>
      <c r="E163" s="41"/>
    </row>
    <row r="164" spans="3:5" x14ac:dyDescent="0.25">
      <c r="C164" s="53"/>
      <c r="D164" s="41"/>
      <c r="E164" s="41"/>
    </row>
    <row r="165" spans="3:5" x14ac:dyDescent="0.25">
      <c r="C165" s="53"/>
      <c r="D165" s="41"/>
      <c r="E165" s="41"/>
    </row>
    <row r="166" spans="3:5" x14ac:dyDescent="0.25">
      <c r="C166" s="53"/>
      <c r="D166" s="41"/>
      <c r="E166" s="41"/>
    </row>
    <row r="167" spans="3:5" x14ac:dyDescent="0.25">
      <c r="C167" s="53"/>
      <c r="D167" s="41"/>
      <c r="E167" s="41"/>
    </row>
    <row r="168" spans="3:5" x14ac:dyDescent="0.25">
      <c r="C168" s="53"/>
      <c r="D168" s="41"/>
      <c r="E168" s="41"/>
    </row>
    <row r="169" spans="3:5" x14ac:dyDescent="0.25">
      <c r="C169" s="53"/>
      <c r="D169" s="41"/>
      <c r="E169" s="41"/>
    </row>
    <row r="170" spans="3:5" x14ac:dyDescent="0.25">
      <c r="C170" s="53"/>
      <c r="D170" s="41"/>
      <c r="E170" s="41"/>
    </row>
    <row r="171" spans="3:5" x14ac:dyDescent="0.25">
      <c r="C171" s="53"/>
      <c r="D171" s="41"/>
      <c r="E171" s="41"/>
    </row>
    <row r="172" spans="3:5" x14ac:dyDescent="0.25">
      <c r="C172" s="53"/>
      <c r="D172" s="41"/>
      <c r="E172" s="41"/>
    </row>
    <row r="173" spans="3:5" x14ac:dyDescent="0.25">
      <c r="C173" s="53"/>
      <c r="D173" s="41"/>
      <c r="E173" s="41"/>
    </row>
    <row r="174" spans="3:5" x14ac:dyDescent="0.25">
      <c r="C174" s="53"/>
      <c r="D174" s="41"/>
      <c r="E174" s="41"/>
    </row>
    <row r="175" spans="3:5" x14ac:dyDescent="0.25">
      <c r="C175" s="53"/>
      <c r="D175" s="41"/>
      <c r="E175" s="41"/>
    </row>
    <row r="176" spans="3:5" x14ac:dyDescent="0.25">
      <c r="C176" s="53"/>
      <c r="D176" s="41"/>
      <c r="E176" s="41"/>
    </row>
    <row r="177" spans="3:5" x14ac:dyDescent="0.25">
      <c r="C177" s="53"/>
      <c r="D177" s="41"/>
      <c r="E177" s="41"/>
    </row>
    <row r="178" spans="3:5" x14ac:dyDescent="0.25">
      <c r="C178" s="53"/>
      <c r="D178" s="41"/>
      <c r="E178" s="41"/>
    </row>
    <row r="179" spans="3:5" x14ac:dyDescent="0.25">
      <c r="C179" s="53"/>
      <c r="D179" s="41"/>
      <c r="E179" s="41"/>
    </row>
    <row r="180" spans="3:5" x14ac:dyDescent="0.25">
      <c r="C180" s="53"/>
      <c r="D180" s="41"/>
      <c r="E180" s="41"/>
    </row>
    <row r="181" spans="3:5" x14ac:dyDescent="0.25">
      <c r="C181" s="53"/>
      <c r="D181" s="41"/>
      <c r="E181" s="41"/>
    </row>
    <row r="182" spans="3:5" x14ac:dyDescent="0.25">
      <c r="C182" s="53"/>
      <c r="D182" s="41"/>
      <c r="E182" s="41"/>
    </row>
    <row r="183" spans="3:5" x14ac:dyDescent="0.25">
      <c r="C183" s="53"/>
      <c r="D183" s="41"/>
      <c r="E183" s="41"/>
    </row>
    <row r="184" spans="3:5" x14ac:dyDescent="0.25">
      <c r="C184" s="53"/>
      <c r="D184" s="41"/>
      <c r="E184" s="41"/>
    </row>
    <row r="185" spans="3:5" x14ac:dyDescent="0.25">
      <c r="C185" s="53"/>
      <c r="D185" s="41"/>
      <c r="E185" s="41"/>
    </row>
    <row r="186" spans="3:5" x14ac:dyDescent="0.25">
      <c r="C186" s="53"/>
      <c r="D186" s="41"/>
      <c r="E186" s="41"/>
    </row>
    <row r="187" spans="3:5" x14ac:dyDescent="0.25">
      <c r="C187" s="53"/>
      <c r="D187" s="41"/>
      <c r="E187" s="41"/>
    </row>
    <row r="188" spans="3:5" x14ac:dyDescent="0.25">
      <c r="C188" s="53"/>
      <c r="D188" s="41"/>
      <c r="E188" s="41"/>
    </row>
    <row r="189" spans="3:5" x14ac:dyDescent="0.25">
      <c r="C189" s="53"/>
      <c r="D189" s="41"/>
      <c r="E189" s="41"/>
    </row>
    <row r="190" spans="3:5" x14ac:dyDescent="0.25">
      <c r="C190" s="53"/>
      <c r="D190" s="41"/>
      <c r="E190" s="41"/>
    </row>
    <row r="191" spans="3:5" x14ac:dyDescent="0.25">
      <c r="C191" s="53"/>
      <c r="D191" s="41"/>
      <c r="E191" s="41"/>
    </row>
    <row r="192" spans="3:5" x14ac:dyDescent="0.25">
      <c r="C192" s="53"/>
      <c r="D192" s="41"/>
      <c r="E192" s="41"/>
    </row>
    <row r="193" spans="3:5" x14ac:dyDescent="0.25">
      <c r="C193" s="53"/>
      <c r="D193" s="41"/>
      <c r="E193" s="41"/>
    </row>
    <row r="194" spans="3:5" x14ac:dyDescent="0.25">
      <c r="C194" s="53"/>
      <c r="D194" s="41"/>
      <c r="E194" s="41"/>
    </row>
    <row r="195" spans="3:5" x14ac:dyDescent="0.25">
      <c r="C195" s="53"/>
      <c r="D195" s="41"/>
      <c r="E195" s="41"/>
    </row>
    <row r="196" spans="3:5" x14ac:dyDescent="0.25">
      <c r="C196" s="53"/>
      <c r="D196" s="41"/>
      <c r="E196" s="41"/>
    </row>
    <row r="197" spans="3:5" x14ac:dyDescent="0.25">
      <c r="C197" s="53"/>
      <c r="D197" s="41"/>
      <c r="E197" s="41"/>
    </row>
    <row r="198" spans="3:5" x14ac:dyDescent="0.25">
      <c r="C198" s="53"/>
      <c r="D198" s="41"/>
      <c r="E198" s="41"/>
    </row>
    <row r="199" spans="3:5" x14ac:dyDescent="0.25">
      <c r="C199" s="53"/>
      <c r="D199" s="41"/>
      <c r="E199" s="41"/>
    </row>
    <row r="200" spans="3:5" x14ac:dyDescent="0.25">
      <c r="C200" s="53"/>
      <c r="D200" s="41"/>
      <c r="E200" s="41"/>
    </row>
    <row r="201" spans="3:5" x14ac:dyDescent="0.25">
      <c r="C201" s="53"/>
      <c r="D201" s="41"/>
      <c r="E201" s="41"/>
    </row>
    <row r="202" spans="3:5" x14ac:dyDescent="0.25">
      <c r="C202" s="53"/>
      <c r="D202" s="41"/>
      <c r="E202" s="41"/>
    </row>
    <row r="203" spans="3:5" x14ac:dyDescent="0.25">
      <c r="C203" s="53"/>
      <c r="D203" s="41"/>
      <c r="E203" s="41"/>
    </row>
    <row r="204" spans="3:5" x14ac:dyDescent="0.25">
      <c r="C204" s="53"/>
      <c r="D204" s="41"/>
      <c r="E204" s="41"/>
    </row>
    <row r="205" spans="3:5" x14ac:dyDescent="0.25">
      <c r="C205" s="53"/>
      <c r="D205" s="41"/>
      <c r="E205" s="41"/>
    </row>
    <row r="206" spans="3:5" x14ac:dyDescent="0.25">
      <c r="C206" s="53"/>
      <c r="D206" s="41"/>
      <c r="E206" s="41"/>
    </row>
    <row r="207" spans="3:5" x14ac:dyDescent="0.25">
      <c r="C207" s="53"/>
      <c r="D207" s="41"/>
      <c r="E207" s="41"/>
    </row>
    <row r="208" spans="3:5" x14ac:dyDescent="0.25">
      <c r="C208" s="53"/>
      <c r="D208" s="41"/>
      <c r="E208" s="41"/>
    </row>
    <row r="209" spans="3:5" x14ac:dyDescent="0.25">
      <c r="C209" s="53"/>
      <c r="D209" s="41"/>
      <c r="E209" s="41"/>
    </row>
    <row r="210" spans="3:5" x14ac:dyDescent="0.25">
      <c r="C210" s="53"/>
      <c r="D210" s="41"/>
      <c r="E210" s="41"/>
    </row>
    <row r="211" spans="3:5" x14ac:dyDescent="0.25">
      <c r="C211" s="53"/>
      <c r="D211" s="41"/>
      <c r="E211" s="41"/>
    </row>
    <row r="212" spans="3:5" x14ac:dyDescent="0.25">
      <c r="C212" s="53"/>
      <c r="D212" s="41"/>
      <c r="E212" s="41"/>
    </row>
    <row r="213" spans="3:5" x14ac:dyDescent="0.25">
      <c r="C213" s="53"/>
      <c r="D213" s="41"/>
      <c r="E213" s="41"/>
    </row>
    <row r="214" spans="3:5" x14ac:dyDescent="0.25">
      <c r="C214" s="53"/>
      <c r="D214" s="41"/>
      <c r="E214" s="41"/>
    </row>
    <row r="215" spans="3:5" x14ac:dyDescent="0.25">
      <c r="C215" s="53"/>
      <c r="D215" s="41"/>
      <c r="E215" s="41"/>
    </row>
    <row r="216" spans="3:5" x14ac:dyDescent="0.25">
      <c r="C216" s="53"/>
      <c r="D216" s="41"/>
      <c r="E216" s="41"/>
    </row>
    <row r="217" spans="3:5" x14ac:dyDescent="0.25">
      <c r="C217" s="53"/>
      <c r="D217" s="41"/>
      <c r="E217" s="41"/>
    </row>
    <row r="218" spans="3:5" x14ac:dyDescent="0.25">
      <c r="C218" s="53"/>
      <c r="D218" s="41"/>
      <c r="E218" s="41"/>
    </row>
    <row r="219" spans="3:5" x14ac:dyDescent="0.25">
      <c r="C219" s="53"/>
      <c r="D219" s="41"/>
      <c r="E219" s="41"/>
    </row>
    <row r="220" spans="3:5" x14ac:dyDescent="0.25">
      <c r="C220" s="53"/>
      <c r="D220" s="41"/>
      <c r="E220" s="41"/>
    </row>
    <row r="221" spans="3:5" x14ac:dyDescent="0.25">
      <c r="C221" s="53"/>
      <c r="D221" s="41"/>
      <c r="E221" s="41"/>
    </row>
    <row r="222" spans="3:5" x14ac:dyDescent="0.25">
      <c r="C222" s="53"/>
      <c r="D222" s="41"/>
      <c r="E222" s="41"/>
    </row>
    <row r="223" spans="3:5" x14ac:dyDescent="0.25">
      <c r="C223" s="53"/>
      <c r="D223" s="41"/>
      <c r="E223" s="41"/>
    </row>
    <row r="224" spans="3:5" x14ac:dyDescent="0.25">
      <c r="C224" s="53"/>
      <c r="D224" s="41"/>
      <c r="E224" s="41"/>
    </row>
    <row r="225" spans="3:5" x14ac:dyDescent="0.25">
      <c r="C225" s="53"/>
      <c r="D225" s="41"/>
      <c r="E225" s="41"/>
    </row>
    <row r="226" spans="3:5" x14ac:dyDescent="0.25">
      <c r="C226" s="53"/>
      <c r="D226" s="41"/>
      <c r="E226" s="41"/>
    </row>
    <row r="227" spans="3:5" x14ac:dyDescent="0.25">
      <c r="C227" s="53"/>
      <c r="D227" s="41"/>
      <c r="E227" s="41"/>
    </row>
    <row r="228" spans="3:5" x14ac:dyDescent="0.25">
      <c r="C228" s="53"/>
      <c r="D228" s="41"/>
      <c r="E228" s="41"/>
    </row>
    <row r="229" spans="3:5" x14ac:dyDescent="0.25">
      <c r="C229" s="53"/>
      <c r="D229" s="41"/>
      <c r="E229" s="41"/>
    </row>
    <row r="230" spans="3:5" x14ac:dyDescent="0.25">
      <c r="C230" s="53"/>
      <c r="D230" s="41"/>
      <c r="E230" s="41"/>
    </row>
    <row r="231" spans="3:5" x14ac:dyDescent="0.25">
      <c r="C231" s="53"/>
      <c r="D231" s="41"/>
      <c r="E231" s="41"/>
    </row>
    <row r="232" spans="3:5" x14ac:dyDescent="0.25">
      <c r="C232" s="53"/>
      <c r="D232" s="41"/>
      <c r="E232" s="41"/>
    </row>
    <row r="233" spans="3:5" x14ac:dyDescent="0.25">
      <c r="C233" s="53"/>
      <c r="D233" s="41"/>
      <c r="E233" s="41"/>
    </row>
    <row r="234" spans="3:5" x14ac:dyDescent="0.25">
      <c r="C234" s="53"/>
      <c r="D234" s="41"/>
      <c r="E234" s="41"/>
    </row>
    <row r="235" spans="3:5" x14ac:dyDescent="0.25">
      <c r="C235" s="53"/>
      <c r="D235" s="41"/>
      <c r="E235" s="41"/>
    </row>
    <row r="236" spans="3:5" x14ac:dyDescent="0.25">
      <c r="C236" s="53"/>
      <c r="D236" s="41"/>
      <c r="E236" s="41"/>
    </row>
    <row r="237" spans="3:5" x14ac:dyDescent="0.25">
      <c r="C237" s="53"/>
      <c r="D237" s="41"/>
      <c r="E237" s="41"/>
    </row>
    <row r="238" spans="3:5" x14ac:dyDescent="0.25">
      <c r="C238" s="53"/>
      <c r="D238" s="41"/>
      <c r="E238" s="41"/>
    </row>
    <row r="239" spans="3:5" x14ac:dyDescent="0.25">
      <c r="C239" s="53"/>
      <c r="D239" s="41"/>
      <c r="E239" s="41"/>
    </row>
    <row r="240" spans="3:5" x14ac:dyDescent="0.25">
      <c r="C240" s="53"/>
      <c r="D240" s="41"/>
      <c r="E240" s="41"/>
    </row>
    <row r="241" spans="3:5" x14ac:dyDescent="0.25">
      <c r="C241" s="53"/>
      <c r="D241" s="41"/>
      <c r="E241" s="41"/>
    </row>
    <row r="242" spans="3:5" x14ac:dyDescent="0.25">
      <c r="C242" s="53"/>
      <c r="D242" s="41"/>
      <c r="E242" s="41"/>
    </row>
    <row r="243" spans="3:5" x14ac:dyDescent="0.25">
      <c r="C243" s="53"/>
      <c r="D243" s="41"/>
      <c r="E243" s="41"/>
    </row>
    <row r="244" spans="3:5" x14ac:dyDescent="0.25">
      <c r="C244" s="53"/>
      <c r="D244" s="41"/>
      <c r="E244" s="41"/>
    </row>
    <row r="245" spans="3:5" x14ac:dyDescent="0.25">
      <c r="C245" s="53"/>
      <c r="D245" s="41"/>
      <c r="E245" s="41"/>
    </row>
    <row r="246" spans="3:5" x14ac:dyDescent="0.25">
      <c r="C246" s="53"/>
      <c r="D246" s="41"/>
      <c r="E246" s="41"/>
    </row>
    <row r="247" spans="3:5" x14ac:dyDescent="0.25">
      <c r="C247" s="53"/>
      <c r="D247" s="41"/>
      <c r="E247" s="41"/>
    </row>
    <row r="248" spans="3:5" x14ac:dyDescent="0.25">
      <c r="C248" s="53"/>
      <c r="D248" s="41"/>
      <c r="E248" s="41"/>
    </row>
    <row r="249" spans="3:5" x14ac:dyDescent="0.25">
      <c r="C249" s="53"/>
      <c r="D249" s="41"/>
      <c r="E249" s="41"/>
    </row>
    <row r="250" spans="3:5" x14ac:dyDescent="0.25">
      <c r="C250" s="53"/>
      <c r="D250" s="41"/>
      <c r="E250" s="41"/>
    </row>
    <row r="251" spans="3:5" x14ac:dyDescent="0.25">
      <c r="C251" s="53"/>
      <c r="D251" s="41"/>
      <c r="E251" s="41"/>
    </row>
    <row r="252" spans="3:5" x14ac:dyDescent="0.25">
      <c r="C252" s="53"/>
      <c r="D252" s="41"/>
      <c r="E252" s="41"/>
    </row>
    <row r="253" spans="3:5" x14ac:dyDescent="0.25">
      <c r="C253" s="53"/>
      <c r="D253" s="41"/>
      <c r="E253" s="41"/>
    </row>
    <row r="254" spans="3:5" x14ac:dyDescent="0.25">
      <c r="C254" s="53"/>
      <c r="D254" s="41"/>
      <c r="E254" s="41"/>
    </row>
    <row r="255" spans="3:5" x14ac:dyDescent="0.25">
      <c r="C255" s="53"/>
      <c r="D255" s="41"/>
      <c r="E255" s="41"/>
    </row>
    <row r="256" spans="3:5" x14ac:dyDescent="0.25">
      <c r="C256" s="53"/>
      <c r="D256" s="41"/>
      <c r="E256" s="41"/>
    </row>
    <row r="257" spans="3:5" x14ac:dyDescent="0.25">
      <c r="C257" s="53"/>
      <c r="D257" s="41"/>
      <c r="E257" s="41"/>
    </row>
    <row r="258" spans="3:5" x14ac:dyDescent="0.25">
      <c r="C258" s="53"/>
      <c r="D258" s="41"/>
      <c r="E258" s="41"/>
    </row>
    <row r="259" spans="3:5" x14ac:dyDescent="0.25">
      <c r="C259" s="53"/>
      <c r="D259" s="41"/>
      <c r="E259" s="41"/>
    </row>
    <row r="260" spans="3:5" x14ac:dyDescent="0.25">
      <c r="C260" s="53"/>
      <c r="D260" s="41"/>
      <c r="E260" s="41"/>
    </row>
    <row r="261" spans="3:5" x14ac:dyDescent="0.25">
      <c r="C261" s="53"/>
      <c r="D261" s="41"/>
      <c r="E261" s="41"/>
    </row>
    <row r="262" spans="3:5" x14ac:dyDescent="0.25">
      <c r="C262" s="53"/>
      <c r="D262" s="41"/>
      <c r="E262" s="41"/>
    </row>
    <row r="263" spans="3:5" x14ac:dyDescent="0.25">
      <c r="C263" s="53"/>
      <c r="D263" s="41"/>
      <c r="E263" s="41"/>
    </row>
    <row r="264" spans="3:5" x14ac:dyDescent="0.25">
      <c r="C264" s="53"/>
      <c r="D264" s="41"/>
      <c r="E264" s="41"/>
    </row>
    <row r="265" spans="3:5" x14ac:dyDescent="0.25">
      <c r="C265" s="53"/>
      <c r="D265" s="41"/>
      <c r="E265" s="41"/>
    </row>
    <row r="266" spans="3:5" x14ac:dyDescent="0.25">
      <c r="C266" s="53"/>
      <c r="D266" s="41"/>
      <c r="E266" s="41"/>
    </row>
    <row r="267" spans="3:5" x14ac:dyDescent="0.25">
      <c r="C267" s="53"/>
      <c r="D267" s="41"/>
      <c r="E267" s="41"/>
    </row>
    <row r="268" spans="3:5" x14ac:dyDescent="0.25">
      <c r="C268" s="53"/>
      <c r="D268" s="41"/>
      <c r="E268" s="41"/>
    </row>
    <row r="269" spans="3:5" x14ac:dyDescent="0.25">
      <c r="C269" s="53"/>
      <c r="D269" s="41"/>
      <c r="E269" s="41"/>
    </row>
    <row r="270" spans="3:5" x14ac:dyDescent="0.25">
      <c r="C270" s="53"/>
      <c r="D270" s="41"/>
      <c r="E270" s="41"/>
    </row>
    <row r="271" spans="3:5" x14ac:dyDescent="0.25">
      <c r="C271" s="53"/>
      <c r="D271" s="41"/>
      <c r="E271" s="41"/>
    </row>
    <row r="272" spans="3:5" x14ac:dyDescent="0.25">
      <c r="C272" s="53"/>
      <c r="D272" s="41"/>
      <c r="E272" s="41"/>
    </row>
    <row r="273" spans="3:5" x14ac:dyDescent="0.25">
      <c r="C273" s="53"/>
      <c r="D273" s="41"/>
      <c r="E273" s="41"/>
    </row>
    <row r="274" spans="3:5" x14ac:dyDescent="0.25">
      <c r="C274" s="53"/>
      <c r="D274" s="41"/>
      <c r="E274" s="41"/>
    </row>
    <row r="275" spans="3:5" x14ac:dyDescent="0.25">
      <c r="C275" s="53"/>
      <c r="D275" s="41"/>
      <c r="E275" s="41"/>
    </row>
    <row r="276" spans="3:5" x14ac:dyDescent="0.25">
      <c r="C276" s="53"/>
      <c r="D276" s="41"/>
      <c r="E276" s="41"/>
    </row>
    <row r="277" spans="3:5" x14ac:dyDescent="0.25">
      <c r="C277" s="53"/>
      <c r="D277" s="41"/>
      <c r="E277" s="41"/>
    </row>
    <row r="278" spans="3:5" x14ac:dyDescent="0.25">
      <c r="C278" s="53"/>
      <c r="D278" s="41"/>
      <c r="E278" s="41"/>
    </row>
    <row r="279" spans="3:5" x14ac:dyDescent="0.25">
      <c r="C279" s="53"/>
      <c r="D279" s="41"/>
      <c r="E279" s="41"/>
    </row>
    <row r="280" spans="3:5" x14ac:dyDescent="0.25">
      <c r="C280" s="53"/>
      <c r="D280" s="41"/>
      <c r="E280" s="41"/>
    </row>
    <row r="281" spans="3:5" x14ac:dyDescent="0.25">
      <c r="C281" s="53"/>
      <c r="D281" s="41"/>
      <c r="E281" s="41"/>
    </row>
    <row r="282" spans="3:5" x14ac:dyDescent="0.25">
      <c r="C282" s="53"/>
      <c r="D282" s="41"/>
      <c r="E282" s="41"/>
    </row>
    <row r="283" spans="3:5" x14ac:dyDescent="0.25">
      <c r="C283" s="53"/>
      <c r="D283" s="41"/>
      <c r="E283" s="41"/>
    </row>
    <row r="284" spans="3:5" x14ac:dyDescent="0.25">
      <c r="C284" s="53"/>
      <c r="D284" s="41"/>
      <c r="E284" s="41"/>
    </row>
    <row r="285" spans="3:5" x14ac:dyDescent="0.25">
      <c r="C285" s="53"/>
      <c r="D285" s="41"/>
      <c r="E285" s="41"/>
    </row>
    <row r="286" spans="3:5" x14ac:dyDescent="0.25">
      <c r="C286" s="53"/>
      <c r="D286" s="41"/>
      <c r="E286" s="41"/>
    </row>
    <row r="287" spans="3:5" x14ac:dyDescent="0.25">
      <c r="C287" s="53"/>
      <c r="D287" s="41"/>
      <c r="E287" s="41"/>
    </row>
    <row r="288" spans="3:5" x14ac:dyDescent="0.25">
      <c r="C288" s="53"/>
      <c r="D288" s="41"/>
      <c r="E288" s="41"/>
    </row>
    <row r="289" spans="3:5" x14ac:dyDescent="0.25">
      <c r="C289" s="53"/>
      <c r="D289" s="41"/>
      <c r="E289" s="41"/>
    </row>
    <row r="290" spans="3:5" x14ac:dyDescent="0.25">
      <c r="C290" s="53"/>
      <c r="D290" s="41"/>
      <c r="E290" s="41"/>
    </row>
    <row r="291" spans="3:5" x14ac:dyDescent="0.25">
      <c r="C291" s="53"/>
      <c r="D291" s="41"/>
      <c r="E291" s="41"/>
    </row>
    <row r="292" spans="3:5" x14ac:dyDescent="0.25">
      <c r="C292" s="53"/>
      <c r="D292" s="41"/>
      <c r="E292" s="41"/>
    </row>
    <row r="293" spans="3:5" x14ac:dyDescent="0.25">
      <c r="C293" s="53"/>
      <c r="D293" s="41"/>
      <c r="E293" s="41"/>
    </row>
    <row r="294" spans="3:5" x14ac:dyDescent="0.25">
      <c r="C294" s="53"/>
      <c r="D294" s="41"/>
      <c r="E294" s="41"/>
    </row>
    <row r="295" spans="3:5" x14ac:dyDescent="0.25">
      <c r="C295" s="53"/>
      <c r="D295" s="41"/>
      <c r="E295" s="41"/>
    </row>
    <row r="296" spans="3:5" x14ac:dyDescent="0.25">
      <c r="C296" s="53"/>
      <c r="D296" s="41"/>
      <c r="E296" s="41"/>
    </row>
    <row r="297" spans="3:5" x14ac:dyDescent="0.25">
      <c r="C297" s="53"/>
      <c r="D297" s="41"/>
      <c r="E297" s="41"/>
    </row>
    <row r="298" spans="3:5" x14ac:dyDescent="0.25">
      <c r="C298" s="53"/>
      <c r="D298" s="41"/>
      <c r="E298" s="41"/>
    </row>
    <row r="299" spans="3:5" x14ac:dyDescent="0.25">
      <c r="C299" s="53"/>
      <c r="D299" s="41"/>
      <c r="E299" s="41"/>
    </row>
    <row r="300" spans="3:5" x14ac:dyDescent="0.25">
      <c r="C300" s="53"/>
      <c r="D300" s="41"/>
      <c r="E300" s="41"/>
    </row>
    <row r="301" spans="3:5" x14ac:dyDescent="0.25">
      <c r="C301" s="53"/>
      <c r="D301" s="41"/>
      <c r="E301" s="41"/>
    </row>
    <row r="302" spans="3:5" x14ac:dyDescent="0.25">
      <c r="C302" s="53"/>
      <c r="D302" s="41"/>
      <c r="E302" s="41"/>
    </row>
    <row r="303" spans="3:5" x14ac:dyDescent="0.25">
      <c r="C303" s="53"/>
      <c r="D303" s="41"/>
      <c r="E303" s="41"/>
    </row>
    <row r="304" spans="3:5" x14ac:dyDescent="0.25">
      <c r="C304" s="53"/>
      <c r="D304" s="41"/>
      <c r="E304" s="41"/>
    </row>
    <row r="305" spans="3:5" x14ac:dyDescent="0.25">
      <c r="C305" s="53"/>
      <c r="D305" s="41"/>
      <c r="E305" s="41"/>
    </row>
    <row r="306" spans="3:5" x14ac:dyDescent="0.25">
      <c r="C306" s="53"/>
      <c r="D306" s="41"/>
      <c r="E306" s="41"/>
    </row>
    <row r="307" spans="3:5" x14ac:dyDescent="0.25">
      <c r="C307" s="53"/>
      <c r="D307" s="41"/>
      <c r="E307" s="41"/>
    </row>
    <row r="308" spans="3:5" x14ac:dyDescent="0.25">
      <c r="C308" s="53"/>
      <c r="D308" s="41"/>
      <c r="E308" s="41"/>
    </row>
    <row r="309" spans="3:5" x14ac:dyDescent="0.25">
      <c r="C309" s="53"/>
      <c r="D309" s="41"/>
      <c r="E309" s="41"/>
    </row>
    <row r="310" spans="3:5" x14ac:dyDescent="0.25">
      <c r="C310" s="53"/>
      <c r="D310" s="41"/>
      <c r="E310" s="41"/>
    </row>
    <row r="311" spans="3:5" x14ac:dyDescent="0.25">
      <c r="C311" s="53"/>
      <c r="D311" s="41"/>
      <c r="E311" s="41"/>
    </row>
    <row r="312" spans="3:5" x14ac:dyDescent="0.25">
      <c r="C312" s="53"/>
      <c r="D312" s="41"/>
      <c r="E312" s="41"/>
    </row>
    <row r="313" spans="3:5" x14ac:dyDescent="0.25">
      <c r="C313" s="53"/>
      <c r="D313" s="41"/>
      <c r="E313" s="41"/>
    </row>
    <row r="314" spans="3:5" x14ac:dyDescent="0.25">
      <c r="C314" s="53"/>
      <c r="D314" s="41"/>
      <c r="E314" s="41"/>
    </row>
    <row r="315" spans="3:5" x14ac:dyDescent="0.25">
      <c r="C315" s="53"/>
      <c r="D315" s="41"/>
      <c r="E315" s="41"/>
    </row>
    <row r="316" spans="3:5" x14ac:dyDescent="0.25">
      <c r="C316" s="53"/>
      <c r="D316" s="41"/>
      <c r="E316" s="41"/>
    </row>
    <row r="317" spans="3:5" x14ac:dyDescent="0.25">
      <c r="C317" s="53"/>
      <c r="D317" s="41"/>
      <c r="E317" s="41"/>
    </row>
    <row r="318" spans="3:5" x14ac:dyDescent="0.25">
      <c r="C318" s="53"/>
      <c r="D318" s="41"/>
      <c r="E318" s="41"/>
    </row>
    <row r="319" spans="3:5" x14ac:dyDescent="0.25">
      <c r="C319" s="53"/>
      <c r="D319" s="41"/>
      <c r="E319" s="41"/>
    </row>
    <row r="320" spans="3:5" x14ac:dyDescent="0.25">
      <c r="C320" s="53"/>
      <c r="D320" s="41"/>
      <c r="E320" s="41"/>
    </row>
    <row r="321" spans="3:5" x14ac:dyDescent="0.25">
      <c r="C321" s="53"/>
      <c r="D321" s="41"/>
      <c r="E321" s="41"/>
    </row>
    <row r="322" spans="3:5" x14ac:dyDescent="0.25">
      <c r="C322" s="53"/>
      <c r="D322" s="41"/>
      <c r="E322" s="41"/>
    </row>
    <row r="323" spans="3:5" x14ac:dyDescent="0.25">
      <c r="C323" s="53"/>
      <c r="D323" s="41"/>
      <c r="E323" s="41"/>
    </row>
    <row r="324" spans="3:5" x14ac:dyDescent="0.25">
      <c r="C324" s="53"/>
      <c r="D324" s="41"/>
      <c r="E324" s="41"/>
    </row>
    <row r="325" spans="3:5" x14ac:dyDescent="0.25">
      <c r="C325" s="53"/>
      <c r="D325" s="41"/>
      <c r="E325" s="41"/>
    </row>
    <row r="326" spans="3:5" x14ac:dyDescent="0.25">
      <c r="C326" s="53"/>
      <c r="D326" s="41"/>
      <c r="E326" s="41"/>
    </row>
    <row r="327" spans="3:5" x14ac:dyDescent="0.25">
      <c r="C327" s="53"/>
      <c r="D327" s="41"/>
      <c r="E327" s="41"/>
    </row>
    <row r="328" spans="3:5" x14ac:dyDescent="0.25">
      <c r="C328" s="53"/>
      <c r="D328" s="41"/>
      <c r="E328" s="41"/>
    </row>
    <row r="329" spans="3:5" x14ac:dyDescent="0.25">
      <c r="C329" s="53"/>
      <c r="D329" s="41"/>
      <c r="E329" s="41"/>
    </row>
    <row r="330" spans="3:5" x14ac:dyDescent="0.25">
      <c r="C330" s="53"/>
      <c r="D330" s="41"/>
      <c r="E330" s="41"/>
    </row>
    <row r="331" spans="3:5" x14ac:dyDescent="0.25">
      <c r="C331" s="53"/>
      <c r="D331" s="41"/>
      <c r="E331" s="41"/>
    </row>
    <row r="332" spans="3:5" x14ac:dyDescent="0.25">
      <c r="C332" s="53"/>
      <c r="D332" s="41"/>
      <c r="E332" s="41"/>
    </row>
    <row r="333" spans="3:5" x14ac:dyDescent="0.25">
      <c r="C333" s="53"/>
      <c r="D333" s="41"/>
      <c r="E333" s="41"/>
    </row>
    <row r="334" spans="3:5" x14ac:dyDescent="0.25">
      <c r="C334" s="53"/>
      <c r="D334" s="41"/>
      <c r="E334" s="41"/>
    </row>
    <row r="335" spans="3:5" x14ac:dyDescent="0.25">
      <c r="C335" s="53"/>
      <c r="D335" s="41"/>
      <c r="E335" s="41"/>
    </row>
    <row r="336" spans="3:5" x14ac:dyDescent="0.25">
      <c r="C336" s="53"/>
      <c r="D336" s="41"/>
      <c r="E336" s="41"/>
    </row>
    <row r="337" spans="3:5" x14ac:dyDescent="0.25">
      <c r="C337" s="53"/>
      <c r="D337" s="41"/>
      <c r="E337" s="41"/>
    </row>
    <row r="338" spans="3:5" x14ac:dyDescent="0.25">
      <c r="C338" s="53"/>
      <c r="D338" s="41"/>
      <c r="E338" s="41"/>
    </row>
    <row r="339" spans="3:5" x14ac:dyDescent="0.25">
      <c r="C339" s="53"/>
      <c r="D339" s="41"/>
      <c r="E339" s="41"/>
    </row>
    <row r="340" spans="3:5" x14ac:dyDescent="0.25">
      <c r="C340" s="53"/>
      <c r="D340" s="41"/>
      <c r="E340" s="41"/>
    </row>
    <row r="341" spans="3:5" x14ac:dyDescent="0.25">
      <c r="C341" s="53"/>
      <c r="D341" s="41"/>
      <c r="E341" s="41"/>
    </row>
    <row r="342" spans="3:5" x14ac:dyDescent="0.25">
      <c r="C342" s="53"/>
      <c r="D342" s="41"/>
      <c r="E342" s="41"/>
    </row>
    <row r="343" spans="3:5" x14ac:dyDescent="0.25">
      <c r="C343" s="53"/>
      <c r="D343" s="41"/>
      <c r="E343" s="41"/>
    </row>
    <row r="344" spans="3:5" x14ac:dyDescent="0.25">
      <c r="C344" s="53"/>
      <c r="D344" s="41"/>
      <c r="E344" s="41"/>
    </row>
    <row r="345" spans="3:5" x14ac:dyDescent="0.25">
      <c r="C345" s="53"/>
      <c r="D345" s="41"/>
      <c r="E345" s="41"/>
    </row>
    <row r="346" spans="3:5" x14ac:dyDescent="0.25">
      <c r="C346" s="53"/>
      <c r="D346" s="41"/>
      <c r="E346" s="41"/>
    </row>
    <row r="347" spans="3:5" x14ac:dyDescent="0.25">
      <c r="C347" s="53"/>
      <c r="D347" s="41"/>
      <c r="E347" s="41"/>
    </row>
    <row r="348" spans="3:5" x14ac:dyDescent="0.25">
      <c r="C348" s="53"/>
      <c r="D348" s="41"/>
      <c r="E348" s="41"/>
    </row>
    <row r="349" spans="3:5" x14ac:dyDescent="0.25">
      <c r="C349" s="53"/>
      <c r="D349" s="41"/>
      <c r="E349" s="41"/>
    </row>
    <row r="350" spans="3:5" x14ac:dyDescent="0.25">
      <c r="C350" s="53"/>
      <c r="D350" s="41"/>
      <c r="E350" s="41"/>
    </row>
    <row r="351" spans="3:5" x14ac:dyDescent="0.25">
      <c r="C351" s="53"/>
      <c r="D351" s="41"/>
      <c r="E351" s="41"/>
    </row>
    <row r="352" spans="3:5" x14ac:dyDescent="0.25">
      <c r="C352" s="53"/>
      <c r="D352" s="41"/>
      <c r="E352" s="41"/>
    </row>
    <row r="353" spans="3:5" x14ac:dyDescent="0.25">
      <c r="C353" s="53"/>
      <c r="D353" s="41"/>
      <c r="E353" s="41"/>
    </row>
    <row r="354" spans="3:5" x14ac:dyDescent="0.25">
      <c r="C354" s="53"/>
      <c r="D354" s="41"/>
      <c r="E354" s="41"/>
    </row>
    <row r="355" spans="3:5" x14ac:dyDescent="0.25">
      <c r="C355" s="53"/>
      <c r="D355" s="41"/>
      <c r="E355" s="41"/>
    </row>
    <row r="356" spans="3:5" x14ac:dyDescent="0.25">
      <c r="C356" s="53"/>
      <c r="D356" s="41"/>
      <c r="E356" s="41"/>
    </row>
    <row r="357" spans="3:5" x14ac:dyDescent="0.25">
      <c r="C357" s="53"/>
      <c r="D357" s="41"/>
      <c r="E357" s="41"/>
    </row>
    <row r="358" spans="3:5" x14ac:dyDescent="0.25">
      <c r="C358" s="53"/>
      <c r="D358" s="41"/>
      <c r="E358" s="41"/>
    </row>
    <row r="359" spans="3:5" x14ac:dyDescent="0.25">
      <c r="C359" s="53"/>
      <c r="D359" s="41"/>
      <c r="E359" s="41"/>
    </row>
    <row r="360" spans="3:5" x14ac:dyDescent="0.25">
      <c r="C360" s="53"/>
      <c r="D360" s="41"/>
      <c r="E360" s="41"/>
    </row>
    <row r="361" spans="3:5" x14ac:dyDescent="0.25">
      <c r="C361" s="53"/>
      <c r="D361" s="41"/>
      <c r="E361" s="41"/>
    </row>
    <row r="362" spans="3:5" x14ac:dyDescent="0.25">
      <c r="C362" s="53"/>
      <c r="D362" s="41"/>
      <c r="E362" s="41"/>
    </row>
    <row r="363" spans="3:5" x14ac:dyDescent="0.25">
      <c r="C363" s="53"/>
      <c r="D363" s="41"/>
      <c r="E363" s="41"/>
    </row>
    <row r="364" spans="3:5" x14ac:dyDescent="0.25">
      <c r="C364" s="53"/>
      <c r="D364" s="41"/>
      <c r="E364" s="41"/>
    </row>
    <row r="365" spans="3:5" x14ac:dyDescent="0.25">
      <c r="C365" s="53"/>
      <c r="D365" s="41"/>
      <c r="E365" s="41"/>
    </row>
    <row r="366" spans="3:5" x14ac:dyDescent="0.25">
      <c r="C366" s="53"/>
      <c r="D366" s="41"/>
      <c r="E366" s="41"/>
    </row>
    <row r="367" spans="3:5" x14ac:dyDescent="0.25">
      <c r="C367" s="53"/>
      <c r="D367" s="41"/>
      <c r="E367" s="41"/>
    </row>
    <row r="368" spans="3:5" x14ac:dyDescent="0.25">
      <c r="C368" s="53"/>
      <c r="D368" s="41"/>
      <c r="E368" s="41"/>
    </row>
    <row r="369" spans="3:5" x14ac:dyDescent="0.25">
      <c r="C369" s="53"/>
      <c r="D369" s="41"/>
      <c r="E369" s="41"/>
    </row>
    <row r="370" spans="3:5" x14ac:dyDescent="0.25">
      <c r="C370" s="53"/>
      <c r="D370" s="41"/>
      <c r="E370" s="41"/>
    </row>
    <row r="371" spans="3:5" x14ac:dyDescent="0.25">
      <c r="C371" s="53"/>
      <c r="D371" s="41"/>
      <c r="E371" s="41"/>
    </row>
    <row r="372" spans="3:5" x14ac:dyDescent="0.25">
      <c r="C372" s="53"/>
      <c r="D372" s="41"/>
      <c r="E372" s="41"/>
    </row>
    <row r="373" spans="3:5" x14ac:dyDescent="0.25">
      <c r="C373" s="53"/>
      <c r="D373" s="41"/>
      <c r="E373" s="41"/>
    </row>
    <row r="374" spans="3:5" x14ac:dyDescent="0.25">
      <c r="C374" s="53"/>
      <c r="D374" s="41"/>
      <c r="E374" s="41"/>
    </row>
    <row r="375" spans="3:5" x14ac:dyDescent="0.25">
      <c r="C375" s="53"/>
      <c r="D375" s="41"/>
      <c r="E375" s="41"/>
    </row>
    <row r="376" spans="3:5" x14ac:dyDescent="0.25">
      <c r="C376" s="53"/>
      <c r="D376" s="41"/>
      <c r="E376" s="41"/>
    </row>
    <row r="377" spans="3:5" x14ac:dyDescent="0.25">
      <c r="C377" s="53"/>
      <c r="D377" s="41"/>
      <c r="E377" s="41"/>
    </row>
    <row r="378" spans="3:5" x14ac:dyDescent="0.25">
      <c r="C378" s="53"/>
      <c r="D378" s="41"/>
      <c r="E378" s="41"/>
    </row>
    <row r="379" spans="3:5" x14ac:dyDescent="0.25">
      <c r="C379" s="53"/>
      <c r="D379" s="41"/>
      <c r="E379" s="41"/>
    </row>
    <row r="380" spans="3:5" x14ac:dyDescent="0.25">
      <c r="C380" s="53"/>
      <c r="D380" s="41"/>
      <c r="E380" s="41"/>
    </row>
    <row r="381" spans="3:5" x14ac:dyDescent="0.25">
      <c r="C381" s="53"/>
      <c r="D381" s="41"/>
      <c r="E381" s="41"/>
    </row>
    <row r="382" spans="3:5" x14ac:dyDescent="0.25">
      <c r="C382" s="53"/>
      <c r="D382" s="41"/>
      <c r="E382" s="41"/>
    </row>
    <row r="383" spans="3:5" x14ac:dyDescent="0.25">
      <c r="C383" s="53"/>
      <c r="D383" s="41"/>
      <c r="E383" s="41"/>
    </row>
    <row r="384" spans="3:5" x14ac:dyDescent="0.25">
      <c r="C384" s="53"/>
      <c r="D384" s="41"/>
      <c r="E384" s="41"/>
    </row>
    <row r="385" spans="3:5" x14ac:dyDescent="0.25">
      <c r="C385" s="53"/>
      <c r="D385" s="41"/>
      <c r="E385" s="41"/>
    </row>
    <row r="386" spans="3:5" x14ac:dyDescent="0.25">
      <c r="C386" s="53"/>
      <c r="D386" s="41"/>
      <c r="E386" s="41"/>
    </row>
    <row r="387" spans="3:5" x14ac:dyDescent="0.25">
      <c r="C387" s="53"/>
      <c r="D387" s="41"/>
      <c r="E387" s="41"/>
    </row>
    <row r="388" spans="3:5" x14ac:dyDescent="0.25">
      <c r="C388" s="53"/>
      <c r="D388" s="41"/>
      <c r="E388" s="41"/>
    </row>
    <row r="389" spans="3:5" x14ac:dyDescent="0.25">
      <c r="C389" s="53"/>
      <c r="D389" s="41"/>
      <c r="E389" s="41"/>
    </row>
    <row r="390" spans="3:5" x14ac:dyDescent="0.25">
      <c r="C390" s="53"/>
      <c r="D390" s="41"/>
      <c r="E390" s="41"/>
    </row>
    <row r="391" spans="3:5" x14ac:dyDescent="0.25">
      <c r="C391" s="53"/>
      <c r="D391" s="41"/>
      <c r="E391" s="41"/>
    </row>
    <row r="392" spans="3:5" x14ac:dyDescent="0.25">
      <c r="C392" s="53"/>
      <c r="D392" s="41"/>
      <c r="E392" s="41"/>
    </row>
    <row r="393" spans="3:5" x14ac:dyDescent="0.25">
      <c r="C393" s="53"/>
      <c r="D393" s="41"/>
      <c r="E393" s="41"/>
    </row>
    <row r="394" spans="3:5" x14ac:dyDescent="0.25">
      <c r="C394" s="53"/>
      <c r="D394" s="41"/>
      <c r="E394" s="41"/>
    </row>
    <row r="395" spans="3:5" x14ac:dyDescent="0.25">
      <c r="C395" s="53"/>
      <c r="D395" s="41"/>
      <c r="E395" s="41"/>
    </row>
    <row r="396" spans="3:5" x14ac:dyDescent="0.25">
      <c r="C396" s="53"/>
      <c r="D396" s="41"/>
      <c r="E396" s="41"/>
    </row>
    <row r="397" spans="3:5" x14ac:dyDescent="0.25">
      <c r="C397" s="53"/>
      <c r="D397" s="41"/>
      <c r="E397" s="41"/>
    </row>
    <row r="398" spans="3:5" x14ac:dyDescent="0.25">
      <c r="C398" s="53"/>
      <c r="D398" s="41"/>
      <c r="E398" s="41"/>
    </row>
    <row r="399" spans="3:5" x14ac:dyDescent="0.25">
      <c r="C399" s="53"/>
      <c r="D399" s="41"/>
      <c r="E399" s="41"/>
    </row>
    <row r="400" spans="3:5" x14ac:dyDescent="0.25">
      <c r="C400" s="53"/>
      <c r="D400" s="41"/>
      <c r="E400" s="41"/>
    </row>
    <row r="401" spans="3:5" x14ac:dyDescent="0.25">
      <c r="C401" s="53"/>
      <c r="D401" s="41"/>
      <c r="E401" s="41"/>
    </row>
    <row r="402" spans="3:5" x14ac:dyDescent="0.25">
      <c r="C402" s="53"/>
      <c r="D402" s="41"/>
      <c r="E402" s="41"/>
    </row>
    <row r="403" spans="3:5" x14ac:dyDescent="0.25">
      <c r="C403" s="53"/>
      <c r="D403" s="41"/>
      <c r="E403" s="41"/>
    </row>
    <row r="404" spans="3:5" x14ac:dyDescent="0.25">
      <c r="C404" s="53"/>
      <c r="D404" s="41"/>
      <c r="E404" s="41"/>
    </row>
    <row r="405" spans="3:5" x14ac:dyDescent="0.25">
      <c r="C405" s="53"/>
      <c r="D405" s="41"/>
      <c r="E405" s="41"/>
    </row>
    <row r="406" spans="3:5" x14ac:dyDescent="0.25">
      <c r="C406" s="53"/>
      <c r="D406" s="41"/>
      <c r="E406" s="41"/>
    </row>
    <row r="407" spans="3:5" x14ac:dyDescent="0.25">
      <c r="C407" s="53"/>
      <c r="D407" s="41"/>
      <c r="E407" s="41"/>
    </row>
    <row r="408" spans="3:5" x14ac:dyDescent="0.25">
      <c r="C408" s="53"/>
      <c r="D408" s="41"/>
      <c r="E408" s="41"/>
    </row>
    <row r="409" spans="3:5" x14ac:dyDescent="0.25">
      <c r="C409" s="53"/>
      <c r="D409" s="41"/>
      <c r="E409" s="41"/>
    </row>
    <row r="410" spans="3:5" x14ac:dyDescent="0.25">
      <c r="C410" s="53"/>
      <c r="D410" s="41"/>
      <c r="E410" s="41"/>
    </row>
    <row r="411" spans="3:5" x14ac:dyDescent="0.25">
      <c r="C411" s="53"/>
      <c r="D411" s="41"/>
      <c r="E411" s="41"/>
    </row>
    <row r="412" spans="3:5" x14ac:dyDescent="0.25">
      <c r="C412" s="53"/>
      <c r="D412" s="41"/>
      <c r="E412" s="41"/>
    </row>
    <row r="413" spans="3:5" x14ac:dyDescent="0.25">
      <c r="C413" s="53"/>
      <c r="D413" s="41"/>
      <c r="E413" s="41"/>
    </row>
    <row r="414" spans="3:5" x14ac:dyDescent="0.25">
      <c r="C414" s="53"/>
      <c r="D414" s="41"/>
      <c r="E414" s="41"/>
    </row>
    <row r="415" spans="3:5" x14ac:dyDescent="0.25">
      <c r="C415" s="53"/>
      <c r="D415" s="41"/>
      <c r="E415" s="41"/>
    </row>
    <row r="416" spans="3:5" x14ac:dyDescent="0.25">
      <c r="C416" s="53"/>
      <c r="D416" s="41"/>
      <c r="E416" s="41"/>
    </row>
    <row r="417" spans="3:5" x14ac:dyDescent="0.25">
      <c r="C417" s="53"/>
      <c r="D417" s="41"/>
      <c r="E417" s="41"/>
    </row>
    <row r="418" spans="3:5" x14ac:dyDescent="0.25">
      <c r="C418" s="53"/>
      <c r="D418" s="41"/>
      <c r="E418" s="41"/>
    </row>
    <row r="419" spans="3:5" x14ac:dyDescent="0.25">
      <c r="C419" s="53"/>
      <c r="D419" s="41"/>
      <c r="E419" s="41"/>
    </row>
    <row r="420" spans="3:5" x14ac:dyDescent="0.25">
      <c r="C420" s="53"/>
      <c r="D420" s="41"/>
      <c r="E420" s="41"/>
    </row>
    <row r="421" spans="3:5" x14ac:dyDescent="0.25">
      <c r="C421" s="53"/>
      <c r="D421" s="41"/>
      <c r="E421" s="41"/>
    </row>
    <row r="422" spans="3:5" x14ac:dyDescent="0.25">
      <c r="C422" s="53"/>
      <c r="D422" s="41"/>
      <c r="E422" s="41"/>
    </row>
    <row r="423" spans="3:5" x14ac:dyDescent="0.25">
      <c r="C423" s="53"/>
      <c r="D423" s="41"/>
      <c r="E423" s="41"/>
    </row>
    <row r="424" spans="3:5" x14ac:dyDescent="0.25">
      <c r="C424" s="53"/>
      <c r="D424" s="41"/>
      <c r="E424" s="41"/>
    </row>
    <row r="425" spans="3:5" x14ac:dyDescent="0.25">
      <c r="C425" s="53"/>
      <c r="D425" s="41"/>
      <c r="E425" s="41"/>
    </row>
    <row r="426" spans="3:5" x14ac:dyDescent="0.25">
      <c r="C426" s="53"/>
      <c r="D426" s="41"/>
      <c r="E426" s="41"/>
    </row>
    <row r="427" spans="3:5" x14ac:dyDescent="0.25">
      <c r="C427" s="53"/>
      <c r="D427" s="41"/>
      <c r="E427" s="41"/>
    </row>
    <row r="428" spans="3:5" x14ac:dyDescent="0.25">
      <c r="C428" s="53"/>
      <c r="D428" s="41"/>
      <c r="E428" s="41"/>
    </row>
    <row r="429" spans="3:5" x14ac:dyDescent="0.25">
      <c r="C429" s="53"/>
      <c r="D429" s="41"/>
      <c r="E429" s="41"/>
    </row>
    <row r="430" spans="3:5" x14ac:dyDescent="0.25">
      <c r="C430" s="53"/>
      <c r="D430" s="41"/>
      <c r="E430" s="41"/>
    </row>
    <row r="431" spans="3:5" x14ac:dyDescent="0.25">
      <c r="C431" s="53"/>
      <c r="D431" s="41"/>
      <c r="E431" s="41"/>
    </row>
    <row r="432" spans="3:5" x14ac:dyDescent="0.25">
      <c r="C432" s="53"/>
      <c r="D432" s="41"/>
      <c r="E432" s="41"/>
    </row>
    <row r="433" spans="3:5" x14ac:dyDescent="0.25">
      <c r="C433" s="53"/>
      <c r="D433" s="41"/>
      <c r="E433" s="41"/>
    </row>
    <row r="434" spans="3:5" x14ac:dyDescent="0.25">
      <c r="C434" s="53"/>
      <c r="D434" s="41"/>
      <c r="E434" s="41"/>
    </row>
    <row r="435" spans="3:5" x14ac:dyDescent="0.25">
      <c r="C435" s="53"/>
      <c r="D435" s="41"/>
      <c r="E435" s="41"/>
    </row>
    <row r="436" spans="3:5" x14ac:dyDescent="0.25">
      <c r="C436" s="53"/>
      <c r="D436" s="41"/>
      <c r="E436" s="41"/>
    </row>
    <row r="437" spans="3:5" x14ac:dyDescent="0.25">
      <c r="C437" s="53"/>
      <c r="D437" s="41"/>
      <c r="E437" s="41"/>
    </row>
    <row r="438" spans="3:5" x14ac:dyDescent="0.25">
      <c r="C438" s="53"/>
      <c r="D438" s="41"/>
      <c r="E438" s="41"/>
    </row>
    <row r="439" spans="3:5" x14ac:dyDescent="0.25">
      <c r="C439" s="53"/>
      <c r="D439" s="41"/>
      <c r="E439" s="41"/>
    </row>
    <row r="440" spans="3:5" x14ac:dyDescent="0.25">
      <c r="C440" s="53"/>
      <c r="D440" s="41"/>
      <c r="E440" s="41"/>
    </row>
    <row r="441" spans="3:5" x14ac:dyDescent="0.25">
      <c r="C441" s="53"/>
      <c r="D441" s="41"/>
      <c r="E441" s="41"/>
    </row>
    <row r="442" spans="3:5" x14ac:dyDescent="0.25">
      <c r="C442" s="53"/>
      <c r="D442" s="41"/>
      <c r="E442" s="41"/>
    </row>
    <row r="443" spans="3:5" x14ac:dyDescent="0.25">
      <c r="C443" s="53"/>
      <c r="D443" s="41"/>
      <c r="E443" s="41"/>
    </row>
    <row r="444" spans="3:5" x14ac:dyDescent="0.25">
      <c r="C444" s="53"/>
      <c r="D444" s="41"/>
      <c r="E444" s="41"/>
    </row>
    <row r="445" spans="3:5" x14ac:dyDescent="0.25">
      <c r="C445" s="53"/>
      <c r="D445" s="41"/>
      <c r="E445" s="41"/>
    </row>
    <row r="446" spans="3:5" x14ac:dyDescent="0.25">
      <c r="C446" s="53"/>
      <c r="D446" s="41"/>
      <c r="E446" s="41"/>
    </row>
    <row r="447" spans="3:5" x14ac:dyDescent="0.25">
      <c r="C447" s="53"/>
      <c r="D447" s="41"/>
      <c r="E447" s="41"/>
    </row>
    <row r="448" spans="3:5" x14ac:dyDescent="0.25">
      <c r="C448" s="53"/>
      <c r="D448" s="41"/>
      <c r="E448" s="41"/>
    </row>
    <row r="449" spans="3:5" x14ac:dyDescent="0.25">
      <c r="C449" s="53"/>
      <c r="D449" s="41"/>
      <c r="E449" s="41"/>
    </row>
    <row r="450" spans="3:5" x14ac:dyDescent="0.25">
      <c r="C450" s="53"/>
      <c r="D450" s="41"/>
      <c r="E450" s="41"/>
    </row>
    <row r="451" spans="3:5" x14ac:dyDescent="0.25">
      <c r="C451" s="53"/>
      <c r="D451" s="41"/>
      <c r="E451" s="41"/>
    </row>
    <row r="452" spans="3:5" x14ac:dyDescent="0.25">
      <c r="C452" s="53"/>
      <c r="D452" s="41"/>
      <c r="E452" s="41"/>
    </row>
    <row r="453" spans="3:5" x14ac:dyDescent="0.25">
      <c r="C453" s="53"/>
      <c r="D453" s="41"/>
      <c r="E453" s="41"/>
    </row>
    <row r="454" spans="3:5" x14ac:dyDescent="0.25">
      <c r="C454" s="53"/>
      <c r="D454" s="41"/>
      <c r="E454" s="41"/>
    </row>
    <row r="455" spans="3:5" x14ac:dyDescent="0.25">
      <c r="C455" s="53"/>
      <c r="D455" s="41"/>
      <c r="E455" s="41"/>
    </row>
    <row r="456" spans="3:5" x14ac:dyDescent="0.25">
      <c r="C456" s="53"/>
      <c r="D456" s="41"/>
      <c r="E456" s="41"/>
    </row>
    <row r="457" spans="3:5" x14ac:dyDescent="0.25">
      <c r="C457" s="53"/>
      <c r="D457" s="41"/>
      <c r="E457" s="41"/>
    </row>
    <row r="458" spans="3:5" x14ac:dyDescent="0.25">
      <c r="C458" s="53"/>
      <c r="D458" s="41"/>
      <c r="E458" s="41"/>
    </row>
    <row r="459" spans="3:5" x14ac:dyDescent="0.25">
      <c r="C459" s="53"/>
      <c r="D459" s="41"/>
      <c r="E459" s="41"/>
    </row>
    <row r="460" spans="3:5" x14ac:dyDescent="0.25">
      <c r="C460" s="53"/>
      <c r="D460" s="41"/>
      <c r="E460" s="41"/>
    </row>
    <row r="461" spans="3:5" x14ac:dyDescent="0.25">
      <c r="C461" s="53"/>
      <c r="D461" s="41"/>
      <c r="E461" s="41"/>
    </row>
    <row r="462" spans="3:5" x14ac:dyDescent="0.25">
      <c r="C462" s="53"/>
      <c r="D462" s="41"/>
      <c r="E462" s="41"/>
    </row>
    <row r="463" spans="3:5" x14ac:dyDescent="0.25">
      <c r="C463" s="53"/>
      <c r="D463" s="41"/>
      <c r="E463" s="41"/>
    </row>
    <row r="464" spans="3:5" x14ac:dyDescent="0.25">
      <c r="C464" s="53"/>
      <c r="D464" s="41"/>
      <c r="E464" s="41"/>
    </row>
    <row r="465" spans="3:5" x14ac:dyDescent="0.25">
      <c r="C465" s="53"/>
      <c r="D465" s="41"/>
      <c r="E465" s="41"/>
    </row>
    <row r="466" spans="3:5" x14ac:dyDescent="0.25">
      <c r="C466" s="53"/>
      <c r="D466" s="41"/>
      <c r="E466" s="41"/>
    </row>
    <row r="467" spans="3:5" x14ac:dyDescent="0.25">
      <c r="C467" s="53"/>
      <c r="D467" s="41"/>
      <c r="E467" s="41"/>
    </row>
    <row r="468" spans="3:5" x14ac:dyDescent="0.25">
      <c r="C468" s="53"/>
      <c r="D468" s="41"/>
      <c r="E468" s="41"/>
    </row>
    <row r="469" spans="3:5" x14ac:dyDescent="0.25">
      <c r="C469" s="53"/>
      <c r="D469" s="41"/>
      <c r="E469" s="41"/>
    </row>
    <row r="470" spans="3:5" x14ac:dyDescent="0.25">
      <c r="C470" s="53"/>
      <c r="D470" s="41"/>
      <c r="E470" s="41"/>
    </row>
    <row r="471" spans="3:5" x14ac:dyDescent="0.25">
      <c r="C471" s="53"/>
      <c r="D471" s="41"/>
      <c r="E471" s="41"/>
    </row>
    <row r="472" spans="3:5" x14ac:dyDescent="0.25">
      <c r="C472" s="53"/>
      <c r="D472" s="41"/>
      <c r="E472" s="41"/>
    </row>
    <row r="473" spans="3:5" x14ac:dyDescent="0.25">
      <c r="C473" s="53"/>
      <c r="D473" s="41"/>
      <c r="E473" s="41"/>
    </row>
    <row r="474" spans="3:5" x14ac:dyDescent="0.25">
      <c r="C474" s="53"/>
      <c r="D474" s="41"/>
      <c r="E474" s="41"/>
    </row>
    <row r="475" spans="3:5" x14ac:dyDescent="0.25">
      <c r="C475" s="53"/>
      <c r="D475" s="41"/>
      <c r="E475" s="41"/>
    </row>
    <row r="476" spans="3:5" x14ac:dyDescent="0.25">
      <c r="C476" s="53"/>
      <c r="D476" s="41"/>
      <c r="E476" s="41"/>
    </row>
    <row r="477" spans="3:5" x14ac:dyDescent="0.25">
      <c r="C477" s="53"/>
      <c r="D477" s="41"/>
      <c r="E477" s="41"/>
    </row>
    <row r="478" spans="3:5" x14ac:dyDescent="0.25">
      <c r="C478" s="53"/>
      <c r="D478" s="41"/>
      <c r="E478" s="41"/>
    </row>
    <row r="479" spans="3:5" x14ac:dyDescent="0.25">
      <c r="C479" s="53"/>
      <c r="D479" s="41"/>
      <c r="E479" s="41"/>
    </row>
    <row r="480" spans="3:5" x14ac:dyDescent="0.25">
      <c r="C480" s="53"/>
      <c r="D480" s="41"/>
      <c r="E480" s="41"/>
    </row>
    <row r="481" spans="3:5" x14ac:dyDescent="0.25">
      <c r="C481" s="53"/>
      <c r="D481" s="41"/>
      <c r="E481" s="41"/>
    </row>
    <row r="482" spans="3:5" x14ac:dyDescent="0.25">
      <c r="C482" s="53"/>
      <c r="D482" s="41"/>
      <c r="E482" s="41"/>
    </row>
    <row r="483" spans="3:5" x14ac:dyDescent="0.25">
      <c r="C483" s="53"/>
      <c r="D483" s="41"/>
      <c r="E483" s="41"/>
    </row>
    <row r="484" spans="3:5" x14ac:dyDescent="0.25">
      <c r="C484" s="53"/>
      <c r="D484" s="41"/>
      <c r="E484" s="41"/>
    </row>
    <row r="485" spans="3:5" x14ac:dyDescent="0.25">
      <c r="C485" s="53"/>
      <c r="D485" s="41"/>
      <c r="E485" s="41"/>
    </row>
    <row r="486" spans="3:5" x14ac:dyDescent="0.25">
      <c r="C486" s="53"/>
      <c r="D486" s="41"/>
      <c r="E486" s="41"/>
    </row>
    <row r="487" spans="3:5" x14ac:dyDescent="0.25">
      <c r="C487" s="53"/>
      <c r="D487" s="41"/>
      <c r="E487" s="41"/>
    </row>
    <row r="488" spans="3:5" x14ac:dyDescent="0.25">
      <c r="C488" s="53"/>
      <c r="D488" s="41"/>
      <c r="E488" s="41"/>
    </row>
    <row r="489" spans="3:5" x14ac:dyDescent="0.25">
      <c r="C489" s="53"/>
      <c r="D489" s="41"/>
      <c r="E489" s="41"/>
    </row>
    <row r="490" spans="3:5" x14ac:dyDescent="0.25">
      <c r="C490" s="53"/>
      <c r="D490" s="41"/>
      <c r="E490" s="41"/>
    </row>
    <row r="491" spans="3:5" x14ac:dyDescent="0.25">
      <c r="C491" s="53"/>
      <c r="D491" s="41"/>
      <c r="E491" s="41"/>
    </row>
    <row r="492" spans="3:5" x14ac:dyDescent="0.25">
      <c r="C492" s="53"/>
      <c r="D492" s="41"/>
      <c r="E492" s="41"/>
    </row>
    <row r="493" spans="3:5" x14ac:dyDescent="0.25">
      <c r="C493" s="53"/>
      <c r="D493" s="41"/>
      <c r="E493" s="41"/>
    </row>
    <row r="494" spans="3:5" x14ac:dyDescent="0.25">
      <c r="C494" s="53"/>
      <c r="D494" s="41"/>
      <c r="E494" s="41"/>
    </row>
    <row r="495" spans="3:5" x14ac:dyDescent="0.25">
      <c r="C495" s="53"/>
      <c r="D495" s="41"/>
      <c r="E495" s="41"/>
    </row>
    <row r="496" spans="3:5" x14ac:dyDescent="0.25">
      <c r="C496" s="53"/>
      <c r="D496" s="41"/>
      <c r="E496" s="41"/>
    </row>
    <row r="497" spans="3:5" x14ac:dyDescent="0.25">
      <c r="C497" s="53"/>
      <c r="D497" s="41"/>
      <c r="E497" s="41"/>
    </row>
    <row r="498" spans="3:5" x14ac:dyDescent="0.25">
      <c r="C498" s="53"/>
      <c r="D498" s="41"/>
      <c r="E498" s="41"/>
    </row>
    <row r="499" spans="3:5" x14ac:dyDescent="0.25">
      <c r="C499" s="53"/>
      <c r="D499" s="41"/>
      <c r="E499" s="41"/>
    </row>
    <row r="500" spans="3:5" x14ac:dyDescent="0.25">
      <c r="C500" s="53"/>
      <c r="D500" s="41"/>
      <c r="E500" s="41"/>
    </row>
    <row r="501" spans="3:5" x14ac:dyDescent="0.25">
      <c r="C501" s="53"/>
      <c r="D501" s="41"/>
      <c r="E501" s="41"/>
    </row>
    <row r="502" spans="3:5" x14ac:dyDescent="0.25">
      <c r="C502" s="53"/>
      <c r="D502" s="41"/>
      <c r="E502" s="41"/>
    </row>
    <row r="503" spans="3:5" x14ac:dyDescent="0.25">
      <c r="C503" s="53"/>
      <c r="D503" s="41"/>
      <c r="E503" s="41"/>
    </row>
    <row r="504" spans="3:5" x14ac:dyDescent="0.25">
      <c r="C504" s="53"/>
      <c r="D504" s="41"/>
      <c r="E504" s="41"/>
    </row>
    <row r="505" spans="3:5" x14ac:dyDescent="0.25">
      <c r="C505" s="53"/>
      <c r="D505" s="41"/>
      <c r="E505" s="41"/>
    </row>
    <row r="506" spans="3:5" x14ac:dyDescent="0.25">
      <c r="C506" s="53"/>
      <c r="D506" s="41"/>
      <c r="E506" s="41"/>
    </row>
    <row r="507" spans="3:5" x14ac:dyDescent="0.25">
      <c r="C507" s="53"/>
      <c r="D507" s="41"/>
      <c r="E507" s="41"/>
    </row>
    <row r="508" spans="3:5" x14ac:dyDescent="0.25">
      <c r="C508" s="53"/>
      <c r="D508" s="41"/>
      <c r="E508" s="41"/>
    </row>
    <row r="509" spans="3:5" x14ac:dyDescent="0.25">
      <c r="C509" s="53"/>
      <c r="D509" s="41"/>
      <c r="E509" s="41"/>
    </row>
    <row r="510" spans="3:5" x14ac:dyDescent="0.25">
      <c r="C510" s="53"/>
      <c r="D510" s="41"/>
      <c r="E510" s="41"/>
    </row>
    <row r="511" spans="3:5" x14ac:dyDescent="0.25">
      <c r="C511" s="53"/>
      <c r="D511" s="41"/>
      <c r="E511" s="41"/>
    </row>
    <row r="512" spans="3:5" x14ac:dyDescent="0.25">
      <c r="C512" s="53"/>
      <c r="D512" s="41"/>
      <c r="E512" s="41"/>
    </row>
    <row r="513" spans="3:5" x14ac:dyDescent="0.25">
      <c r="C513" s="53"/>
      <c r="D513" s="41"/>
      <c r="E513" s="41"/>
    </row>
    <row r="514" spans="3:5" x14ac:dyDescent="0.25">
      <c r="C514" s="53"/>
      <c r="D514" s="41"/>
      <c r="E514" s="41"/>
    </row>
    <row r="515" spans="3:5" x14ac:dyDescent="0.25">
      <c r="C515" s="53"/>
      <c r="D515" s="41"/>
      <c r="E515" s="41"/>
    </row>
    <row r="516" spans="3:5" x14ac:dyDescent="0.25">
      <c r="C516" s="53"/>
      <c r="D516" s="41"/>
      <c r="E516" s="41"/>
    </row>
    <row r="517" spans="3:5" x14ac:dyDescent="0.25">
      <c r="C517" s="53"/>
      <c r="D517" s="41"/>
      <c r="E517" s="41"/>
    </row>
    <row r="518" spans="3:5" x14ac:dyDescent="0.25">
      <c r="C518" s="53"/>
      <c r="D518" s="41"/>
      <c r="E518" s="41"/>
    </row>
    <row r="519" spans="3:5" x14ac:dyDescent="0.25">
      <c r="C519" s="53"/>
      <c r="D519" s="41"/>
      <c r="E519" s="41"/>
    </row>
    <row r="520" spans="3:5" x14ac:dyDescent="0.25">
      <c r="C520" s="53"/>
      <c r="D520" s="41"/>
      <c r="E520" s="41"/>
    </row>
    <row r="521" spans="3:5" x14ac:dyDescent="0.25">
      <c r="C521" s="53"/>
      <c r="D521" s="41"/>
      <c r="E521" s="41"/>
    </row>
    <row r="522" spans="3:5" x14ac:dyDescent="0.25">
      <c r="C522" s="53"/>
      <c r="D522" s="41"/>
      <c r="E522" s="41"/>
    </row>
    <row r="523" spans="3:5" x14ac:dyDescent="0.25">
      <c r="C523" s="53"/>
      <c r="D523" s="41"/>
      <c r="E523" s="41"/>
    </row>
    <row r="524" spans="3:5" x14ac:dyDescent="0.25">
      <c r="C524" s="53"/>
      <c r="D524" s="41"/>
      <c r="E524" s="41"/>
    </row>
    <row r="525" spans="3:5" x14ac:dyDescent="0.25">
      <c r="C525" s="53"/>
      <c r="D525" s="41"/>
      <c r="E525" s="41"/>
    </row>
    <row r="526" spans="3:5" x14ac:dyDescent="0.25">
      <c r="C526" s="53"/>
      <c r="D526" s="41"/>
      <c r="E526" s="41"/>
    </row>
    <row r="527" spans="3:5" x14ac:dyDescent="0.25">
      <c r="C527" s="53"/>
      <c r="D527" s="41"/>
      <c r="E527" s="41"/>
    </row>
    <row r="528" spans="3:5" x14ac:dyDescent="0.25">
      <c r="C528" s="53"/>
      <c r="D528" s="41"/>
      <c r="E528" s="41"/>
    </row>
    <row r="529" spans="3:5" x14ac:dyDescent="0.25">
      <c r="C529" s="53"/>
      <c r="D529" s="41"/>
      <c r="E529" s="41"/>
    </row>
    <row r="530" spans="3:5" x14ac:dyDescent="0.25">
      <c r="C530" s="53"/>
      <c r="D530" s="41"/>
      <c r="E530" s="41"/>
    </row>
    <row r="531" spans="3:5" x14ac:dyDescent="0.25">
      <c r="C531" s="53"/>
      <c r="D531" s="41"/>
      <c r="E531" s="41"/>
    </row>
    <row r="532" spans="3:5" x14ac:dyDescent="0.25">
      <c r="C532" s="53"/>
      <c r="D532" s="41"/>
      <c r="E532" s="41"/>
    </row>
    <row r="533" spans="3:5" x14ac:dyDescent="0.25">
      <c r="C533" s="53"/>
      <c r="D533" s="41"/>
      <c r="E533" s="41"/>
    </row>
    <row r="534" spans="3:5" x14ac:dyDescent="0.25">
      <c r="C534" s="53"/>
      <c r="D534" s="41"/>
      <c r="E534" s="41"/>
    </row>
    <row r="535" spans="3:5" x14ac:dyDescent="0.25">
      <c r="C535" s="53"/>
      <c r="D535" s="41"/>
      <c r="E535" s="41"/>
    </row>
    <row r="536" spans="3:5" x14ac:dyDescent="0.25">
      <c r="C536" s="53"/>
      <c r="D536" s="41"/>
      <c r="E536" s="41"/>
    </row>
    <row r="537" spans="3:5" x14ac:dyDescent="0.25">
      <c r="C537" s="53"/>
      <c r="D537" s="41"/>
      <c r="E537" s="41"/>
    </row>
    <row r="538" spans="3:5" x14ac:dyDescent="0.25">
      <c r="C538" s="53"/>
      <c r="D538" s="41"/>
      <c r="E538" s="41"/>
    </row>
    <row r="539" spans="3:5" x14ac:dyDescent="0.25">
      <c r="C539" s="53"/>
      <c r="D539" s="41"/>
      <c r="E539" s="41"/>
    </row>
    <row r="540" spans="3:5" x14ac:dyDescent="0.25">
      <c r="C540" s="53"/>
      <c r="D540" s="41"/>
      <c r="E540" s="41"/>
    </row>
    <row r="541" spans="3:5" x14ac:dyDescent="0.25">
      <c r="C541" s="53"/>
      <c r="D541" s="41"/>
      <c r="E541" s="41"/>
    </row>
    <row r="542" spans="3:5" x14ac:dyDescent="0.25">
      <c r="C542" s="53"/>
      <c r="D542" s="41"/>
      <c r="E542" s="41"/>
    </row>
    <row r="543" spans="3:5" x14ac:dyDescent="0.25">
      <c r="C543" s="53"/>
      <c r="D543" s="41"/>
      <c r="E543" s="41"/>
    </row>
    <row r="544" spans="3:5" x14ac:dyDescent="0.25">
      <c r="C544" s="53"/>
      <c r="D544" s="41"/>
      <c r="E544" s="41"/>
    </row>
    <row r="545" spans="3:5" x14ac:dyDescent="0.25">
      <c r="C545" s="53"/>
      <c r="D545" s="41"/>
      <c r="E545" s="41"/>
    </row>
    <row r="546" spans="3:5" x14ac:dyDescent="0.25">
      <c r="C546" s="53"/>
      <c r="D546" s="41"/>
      <c r="E546" s="41"/>
    </row>
    <row r="547" spans="3:5" x14ac:dyDescent="0.25">
      <c r="C547" s="53"/>
      <c r="D547" s="41"/>
      <c r="E547" s="41"/>
    </row>
    <row r="548" spans="3:5" x14ac:dyDescent="0.25">
      <c r="C548" s="53"/>
      <c r="D548" s="41"/>
      <c r="E548" s="41"/>
    </row>
    <row r="549" spans="3:5" x14ac:dyDescent="0.25">
      <c r="C549" s="53"/>
      <c r="D549" s="41"/>
      <c r="E549" s="41"/>
    </row>
    <row r="550" spans="3:5" x14ac:dyDescent="0.25">
      <c r="C550" s="53"/>
      <c r="D550" s="41"/>
      <c r="E550" s="41"/>
    </row>
    <row r="551" spans="3:5" x14ac:dyDescent="0.25">
      <c r="C551" s="53"/>
      <c r="D551" s="41"/>
      <c r="E551" s="41"/>
    </row>
    <row r="552" spans="3:5" x14ac:dyDescent="0.25">
      <c r="C552" s="53"/>
      <c r="D552" s="41"/>
      <c r="E552" s="41"/>
    </row>
    <row r="553" spans="3:5" x14ac:dyDescent="0.25">
      <c r="C553" s="53"/>
      <c r="D553" s="41"/>
      <c r="E553" s="41"/>
    </row>
    <row r="554" spans="3:5" x14ac:dyDescent="0.25">
      <c r="C554" s="53"/>
      <c r="D554" s="41"/>
      <c r="E554" s="41"/>
    </row>
    <row r="555" spans="3:5" x14ac:dyDescent="0.25">
      <c r="C555" s="53"/>
      <c r="D555" s="41"/>
      <c r="E555" s="41"/>
    </row>
    <row r="556" spans="3:5" x14ac:dyDescent="0.25">
      <c r="C556" s="53"/>
      <c r="D556" s="41"/>
      <c r="E556" s="41"/>
    </row>
    <row r="557" spans="3:5" x14ac:dyDescent="0.25">
      <c r="C557" s="53"/>
      <c r="D557" s="41"/>
      <c r="E557" s="41"/>
    </row>
    <row r="558" spans="3:5" x14ac:dyDescent="0.25">
      <c r="C558" s="53"/>
      <c r="D558" s="41"/>
      <c r="E558" s="41"/>
    </row>
    <row r="559" spans="3:5" x14ac:dyDescent="0.25">
      <c r="C559" s="53"/>
      <c r="D559" s="41"/>
      <c r="E559" s="41"/>
    </row>
    <row r="560" spans="3:5" x14ac:dyDescent="0.25">
      <c r="C560" s="53"/>
      <c r="D560" s="41"/>
      <c r="E560" s="41"/>
    </row>
    <row r="561" spans="3:5" x14ac:dyDescent="0.25">
      <c r="C561" s="53"/>
      <c r="D561" s="41"/>
      <c r="E561" s="41"/>
    </row>
    <row r="562" spans="3:5" x14ac:dyDescent="0.25">
      <c r="C562" s="53"/>
      <c r="D562" s="41"/>
      <c r="E562" s="41"/>
    </row>
    <row r="563" spans="3:5" x14ac:dyDescent="0.25">
      <c r="C563" s="53"/>
      <c r="D563" s="41"/>
      <c r="E563" s="41"/>
    </row>
    <row r="564" spans="3:5" x14ac:dyDescent="0.25">
      <c r="C564" s="53"/>
      <c r="D564" s="41"/>
      <c r="E564" s="41"/>
    </row>
    <row r="565" spans="3:5" x14ac:dyDescent="0.25">
      <c r="C565" s="53"/>
      <c r="D565" s="41"/>
      <c r="E565" s="41"/>
    </row>
    <row r="566" spans="3:5" x14ac:dyDescent="0.25">
      <c r="C566" s="53"/>
      <c r="D566" s="41"/>
      <c r="E566" s="41"/>
    </row>
    <row r="567" spans="3:5" x14ac:dyDescent="0.25">
      <c r="C567" s="53"/>
      <c r="D567" s="41"/>
      <c r="E567" s="41"/>
    </row>
    <row r="568" spans="3:5" x14ac:dyDescent="0.25">
      <c r="C568" s="53"/>
      <c r="D568" s="41"/>
      <c r="E568" s="41"/>
    </row>
    <row r="569" spans="3:5" x14ac:dyDescent="0.25">
      <c r="C569" s="53"/>
      <c r="D569" s="41"/>
      <c r="E569" s="41"/>
    </row>
    <row r="570" spans="3:5" x14ac:dyDescent="0.25">
      <c r="C570" s="53"/>
      <c r="D570" s="41"/>
      <c r="E570" s="41"/>
    </row>
    <row r="571" spans="3:5" x14ac:dyDescent="0.25">
      <c r="C571" s="53"/>
      <c r="D571" s="41"/>
      <c r="E571" s="41"/>
    </row>
    <row r="572" spans="3:5" x14ac:dyDescent="0.25">
      <c r="C572" s="53"/>
      <c r="D572" s="41"/>
      <c r="E572" s="41"/>
    </row>
    <row r="573" spans="3:5" x14ac:dyDescent="0.25">
      <c r="C573" s="53"/>
      <c r="D573" s="41"/>
      <c r="E573" s="41"/>
    </row>
    <row r="574" spans="3:5" x14ac:dyDescent="0.25">
      <c r="C574" s="53"/>
      <c r="D574" s="41"/>
      <c r="E574" s="41"/>
    </row>
    <row r="575" spans="3:5" x14ac:dyDescent="0.25">
      <c r="C575" s="53"/>
      <c r="D575" s="41"/>
      <c r="E575" s="41"/>
    </row>
    <row r="576" spans="3:5" x14ac:dyDescent="0.25">
      <c r="C576" s="53"/>
      <c r="D576" s="41"/>
      <c r="E576" s="41"/>
    </row>
    <row r="577" spans="3:5" x14ac:dyDescent="0.25">
      <c r="C577" s="53"/>
      <c r="D577" s="41"/>
      <c r="E577" s="41"/>
    </row>
    <row r="578" spans="3:5" x14ac:dyDescent="0.25">
      <c r="C578" s="53"/>
      <c r="D578" s="41"/>
      <c r="E578" s="41"/>
    </row>
    <row r="579" spans="3:5" x14ac:dyDescent="0.25">
      <c r="C579" s="53"/>
      <c r="D579" s="41"/>
      <c r="E579" s="41"/>
    </row>
    <row r="580" spans="3:5" x14ac:dyDescent="0.25">
      <c r="C580" s="53"/>
      <c r="D580" s="41"/>
      <c r="E580" s="41"/>
    </row>
    <row r="581" spans="3:5" x14ac:dyDescent="0.25">
      <c r="C581" s="53"/>
      <c r="D581" s="41"/>
      <c r="E581" s="41"/>
    </row>
    <row r="582" spans="3:5" x14ac:dyDescent="0.25">
      <c r="C582" s="53"/>
      <c r="D582" s="41"/>
      <c r="E582" s="41"/>
    </row>
    <row r="583" spans="3:5" x14ac:dyDescent="0.25">
      <c r="C583" s="53"/>
      <c r="D583" s="41"/>
      <c r="E583" s="41"/>
    </row>
    <row r="584" spans="3:5" x14ac:dyDescent="0.25">
      <c r="C584" s="53"/>
      <c r="D584" s="41"/>
      <c r="E584" s="41"/>
    </row>
    <row r="585" spans="3:5" x14ac:dyDescent="0.25">
      <c r="C585" s="53"/>
      <c r="D585" s="41"/>
      <c r="E585" s="41"/>
    </row>
    <row r="586" spans="3:5" x14ac:dyDescent="0.25">
      <c r="C586" s="53"/>
      <c r="D586" s="41"/>
      <c r="E586" s="41"/>
    </row>
    <row r="587" spans="3:5" x14ac:dyDescent="0.25">
      <c r="C587" s="53"/>
      <c r="D587" s="41"/>
      <c r="E587" s="41"/>
    </row>
    <row r="588" spans="3:5" x14ac:dyDescent="0.25">
      <c r="C588" s="53"/>
      <c r="D588" s="41"/>
      <c r="E588" s="41"/>
    </row>
    <row r="589" spans="3:5" x14ac:dyDescent="0.25">
      <c r="C589" s="53"/>
      <c r="D589" s="41"/>
      <c r="E589" s="41"/>
    </row>
    <row r="590" spans="3:5" x14ac:dyDescent="0.25">
      <c r="C590" s="53"/>
      <c r="D590" s="41"/>
      <c r="E590" s="41"/>
    </row>
    <row r="591" spans="3:5" x14ac:dyDescent="0.25">
      <c r="C591" s="53"/>
      <c r="D591" s="41"/>
      <c r="E591" s="41"/>
    </row>
    <row r="592" spans="3:5" x14ac:dyDescent="0.25">
      <c r="C592" s="53"/>
      <c r="D592" s="41"/>
      <c r="E592" s="41"/>
    </row>
    <row r="593" spans="3:5" x14ac:dyDescent="0.25">
      <c r="C593" s="53"/>
      <c r="D593" s="41"/>
      <c r="E593" s="41"/>
    </row>
    <row r="594" spans="3:5" x14ac:dyDescent="0.25">
      <c r="C594" s="53"/>
      <c r="D594" s="41"/>
      <c r="E594" s="41"/>
    </row>
    <row r="595" spans="3:5" x14ac:dyDescent="0.25">
      <c r="C595" s="53"/>
      <c r="D595" s="41"/>
      <c r="E595" s="41"/>
    </row>
    <row r="596" spans="3:5" x14ac:dyDescent="0.25">
      <c r="C596" s="53"/>
      <c r="D596" s="41"/>
      <c r="E596" s="41"/>
    </row>
    <row r="597" spans="3:5" x14ac:dyDescent="0.25">
      <c r="C597" s="53"/>
      <c r="D597" s="41"/>
      <c r="E597" s="41"/>
    </row>
    <row r="598" spans="3:5" x14ac:dyDescent="0.25">
      <c r="C598" s="53"/>
      <c r="D598" s="41"/>
      <c r="E598" s="41"/>
    </row>
    <row r="599" spans="3:5" x14ac:dyDescent="0.25">
      <c r="C599" s="53"/>
      <c r="D599" s="41"/>
      <c r="E599" s="41"/>
    </row>
    <row r="600" spans="3:5" x14ac:dyDescent="0.25">
      <c r="C600" s="53"/>
      <c r="D600" s="41"/>
      <c r="E600" s="41"/>
    </row>
    <row r="601" spans="3:5" x14ac:dyDescent="0.25">
      <c r="C601" s="53"/>
      <c r="D601" s="41"/>
      <c r="E601" s="41"/>
    </row>
    <row r="602" spans="3:5" x14ac:dyDescent="0.25">
      <c r="C602" s="53"/>
      <c r="D602" s="41"/>
      <c r="E602" s="41"/>
    </row>
    <row r="603" spans="3:5" x14ac:dyDescent="0.25">
      <c r="C603" s="53"/>
      <c r="D603" s="41"/>
      <c r="E603" s="41"/>
    </row>
    <row r="604" spans="3:5" x14ac:dyDescent="0.25">
      <c r="C604" s="53"/>
      <c r="D604" s="41"/>
      <c r="E604" s="41"/>
    </row>
    <row r="605" spans="3:5" x14ac:dyDescent="0.25">
      <c r="C605" s="53"/>
      <c r="D605" s="41"/>
      <c r="E605" s="41"/>
    </row>
    <row r="606" spans="3:5" x14ac:dyDescent="0.25">
      <c r="C606" s="53"/>
      <c r="D606" s="41"/>
      <c r="E606" s="41"/>
    </row>
    <row r="607" spans="3:5" x14ac:dyDescent="0.25">
      <c r="C607" s="53"/>
      <c r="D607" s="41"/>
      <c r="E607" s="41"/>
    </row>
    <row r="608" spans="3:5" x14ac:dyDescent="0.25">
      <c r="C608" s="53"/>
      <c r="D608" s="41"/>
      <c r="E608" s="41"/>
    </row>
    <row r="609" spans="3:5" x14ac:dyDescent="0.25">
      <c r="C609" s="53"/>
      <c r="D609" s="41"/>
      <c r="E609" s="41"/>
    </row>
    <row r="610" spans="3:5" x14ac:dyDescent="0.25">
      <c r="C610" s="53"/>
      <c r="D610" s="41"/>
      <c r="E610" s="41"/>
    </row>
    <row r="611" spans="3:5" x14ac:dyDescent="0.25">
      <c r="C611" s="53"/>
      <c r="D611" s="41"/>
      <c r="E611" s="41"/>
    </row>
    <row r="612" spans="3:5" x14ac:dyDescent="0.25">
      <c r="C612" s="53"/>
      <c r="D612" s="41"/>
      <c r="E612" s="41"/>
    </row>
    <row r="613" spans="3:5" x14ac:dyDescent="0.25">
      <c r="C613" s="53"/>
      <c r="D613" s="41"/>
      <c r="E613" s="41"/>
    </row>
    <row r="614" spans="3:5" x14ac:dyDescent="0.25">
      <c r="C614" s="53"/>
      <c r="D614" s="41"/>
      <c r="E614" s="41"/>
    </row>
    <row r="615" spans="3:5" x14ac:dyDescent="0.25">
      <c r="C615" s="53"/>
      <c r="D615" s="41"/>
      <c r="E615" s="41"/>
    </row>
    <row r="616" spans="3:5" x14ac:dyDescent="0.25">
      <c r="C616" s="53"/>
      <c r="D616" s="41"/>
      <c r="E616" s="41"/>
    </row>
    <row r="617" spans="3:5" x14ac:dyDescent="0.25">
      <c r="C617" s="53"/>
      <c r="D617" s="41"/>
      <c r="E617" s="41"/>
    </row>
    <row r="618" spans="3:5" x14ac:dyDescent="0.25">
      <c r="C618" s="53"/>
      <c r="D618" s="41"/>
      <c r="E618" s="41"/>
    </row>
    <row r="619" spans="3:5" x14ac:dyDescent="0.25">
      <c r="C619" s="53"/>
      <c r="D619" s="41"/>
      <c r="E619" s="41"/>
    </row>
    <row r="620" spans="3:5" x14ac:dyDescent="0.25">
      <c r="C620" s="53"/>
      <c r="D620" s="41"/>
      <c r="E620" s="41"/>
    </row>
    <row r="621" spans="3:5" x14ac:dyDescent="0.25">
      <c r="C621" s="53"/>
      <c r="D621" s="41"/>
      <c r="E621" s="41"/>
    </row>
    <row r="622" spans="3:5" x14ac:dyDescent="0.25">
      <c r="C622" s="53"/>
      <c r="D622" s="41"/>
      <c r="E622" s="41"/>
    </row>
    <row r="623" spans="3:5" x14ac:dyDescent="0.25">
      <c r="C623" s="53"/>
      <c r="D623" s="41"/>
      <c r="E623" s="41"/>
    </row>
    <row r="624" spans="3:5" x14ac:dyDescent="0.25">
      <c r="C624" s="53"/>
      <c r="D624" s="41"/>
      <c r="E624" s="41"/>
    </row>
    <row r="625" spans="3:5" x14ac:dyDescent="0.25">
      <c r="C625" s="53"/>
      <c r="D625" s="41"/>
      <c r="E625" s="41"/>
    </row>
    <row r="626" spans="3:5" x14ac:dyDescent="0.25">
      <c r="C626" s="53"/>
      <c r="D626" s="41"/>
      <c r="E626" s="41"/>
    </row>
    <row r="627" spans="3:5" x14ac:dyDescent="0.25">
      <c r="C627" s="53"/>
      <c r="D627" s="41"/>
      <c r="E627" s="41"/>
    </row>
    <row r="628" spans="3:5" x14ac:dyDescent="0.25">
      <c r="C628" s="53"/>
      <c r="D628" s="41"/>
      <c r="E628" s="41"/>
    </row>
    <row r="629" spans="3:5" x14ac:dyDescent="0.25">
      <c r="C629" s="53"/>
      <c r="D629" s="41"/>
      <c r="E629" s="41"/>
    </row>
    <row r="630" spans="3:5" x14ac:dyDescent="0.25">
      <c r="C630" s="53"/>
      <c r="D630" s="41"/>
      <c r="E630" s="41"/>
    </row>
    <row r="631" spans="3:5" x14ac:dyDescent="0.25">
      <c r="C631" s="53"/>
      <c r="D631" s="41"/>
      <c r="E631" s="41"/>
    </row>
    <row r="632" spans="3:5" x14ac:dyDescent="0.25">
      <c r="C632" s="53"/>
      <c r="D632" s="41"/>
      <c r="E632" s="41"/>
    </row>
    <row r="633" spans="3:5" x14ac:dyDescent="0.25">
      <c r="C633" s="53"/>
      <c r="D633" s="41"/>
      <c r="E633" s="41"/>
    </row>
    <row r="634" spans="3:5" x14ac:dyDescent="0.25">
      <c r="C634" s="53"/>
      <c r="D634" s="41"/>
      <c r="E634" s="41"/>
    </row>
    <row r="635" spans="3:5" x14ac:dyDescent="0.25">
      <c r="C635" s="53"/>
      <c r="D635" s="41"/>
      <c r="E635" s="41"/>
    </row>
    <row r="636" spans="3:5" x14ac:dyDescent="0.25">
      <c r="C636" s="53"/>
      <c r="D636" s="41"/>
      <c r="E636" s="41"/>
    </row>
    <row r="637" spans="3:5" x14ac:dyDescent="0.25">
      <c r="C637" s="53"/>
      <c r="D637" s="41"/>
      <c r="E637" s="41"/>
    </row>
    <row r="638" spans="3:5" x14ac:dyDescent="0.25">
      <c r="C638" s="53"/>
      <c r="D638" s="41"/>
      <c r="E638" s="41"/>
    </row>
    <row r="639" spans="3:5" x14ac:dyDescent="0.25">
      <c r="C639" s="53"/>
      <c r="D639" s="41"/>
      <c r="E639" s="41"/>
    </row>
    <row r="640" spans="3:5" x14ac:dyDescent="0.25">
      <c r="C640" s="53"/>
      <c r="D640" s="41"/>
      <c r="E640" s="41"/>
    </row>
    <row r="641" spans="3:5" x14ac:dyDescent="0.25">
      <c r="C641" s="53"/>
      <c r="D641" s="41"/>
      <c r="E641" s="41"/>
    </row>
    <row r="642" spans="3:5" x14ac:dyDescent="0.25">
      <c r="C642" s="53"/>
      <c r="D642" s="41"/>
      <c r="E642" s="41"/>
    </row>
    <row r="643" spans="3:5" x14ac:dyDescent="0.25">
      <c r="C643" s="53"/>
      <c r="D643" s="41"/>
      <c r="E643" s="41"/>
    </row>
    <row r="644" spans="3:5" x14ac:dyDescent="0.25">
      <c r="C644" s="53"/>
      <c r="D644" s="41"/>
      <c r="E644" s="41"/>
    </row>
    <row r="645" spans="3:5" x14ac:dyDescent="0.25">
      <c r="C645" s="53"/>
      <c r="D645" s="41"/>
      <c r="E645" s="41"/>
    </row>
    <row r="646" spans="3:5" x14ac:dyDescent="0.25">
      <c r="C646" s="53"/>
      <c r="D646" s="41"/>
      <c r="E646" s="41"/>
    </row>
    <row r="647" spans="3:5" x14ac:dyDescent="0.25">
      <c r="C647" s="53"/>
      <c r="D647" s="41"/>
      <c r="E647" s="41"/>
    </row>
    <row r="648" spans="3:5" x14ac:dyDescent="0.25">
      <c r="C648" s="53"/>
      <c r="D648" s="41"/>
      <c r="E648" s="41"/>
    </row>
    <row r="649" spans="3:5" x14ac:dyDescent="0.25">
      <c r="C649" s="53"/>
      <c r="D649" s="41"/>
      <c r="E649" s="41"/>
    </row>
    <row r="650" spans="3:5" x14ac:dyDescent="0.25">
      <c r="C650" s="53"/>
      <c r="D650" s="41"/>
      <c r="E650" s="41"/>
    </row>
    <row r="651" spans="3:5" x14ac:dyDescent="0.25">
      <c r="C651" s="53"/>
      <c r="D651" s="41"/>
      <c r="E651" s="41"/>
    </row>
    <row r="652" spans="3:5" x14ac:dyDescent="0.25">
      <c r="C652" s="53"/>
      <c r="D652" s="41"/>
      <c r="E652" s="41"/>
    </row>
    <row r="653" spans="3:5" x14ac:dyDescent="0.25">
      <c r="C653" s="53"/>
      <c r="D653" s="41"/>
      <c r="E653" s="41"/>
    </row>
    <row r="654" spans="3:5" x14ac:dyDescent="0.25">
      <c r="C654" s="53"/>
      <c r="D654" s="41"/>
      <c r="E654" s="41"/>
    </row>
    <row r="655" spans="3:5" x14ac:dyDescent="0.25">
      <c r="C655" s="53"/>
      <c r="D655" s="41"/>
      <c r="E655" s="41"/>
    </row>
    <row r="656" spans="3:5" x14ac:dyDescent="0.25">
      <c r="C656" s="53"/>
      <c r="D656" s="41"/>
      <c r="E656" s="41"/>
    </row>
    <row r="657" spans="3:5" x14ac:dyDescent="0.25">
      <c r="C657" s="53"/>
      <c r="D657" s="41"/>
      <c r="E657" s="41"/>
    </row>
    <row r="658" spans="3:5" x14ac:dyDescent="0.25">
      <c r="C658" s="53"/>
      <c r="D658" s="41"/>
      <c r="E658" s="41"/>
    </row>
    <row r="659" spans="3:5" x14ac:dyDescent="0.25">
      <c r="C659" s="53"/>
      <c r="D659" s="41"/>
      <c r="E659" s="41"/>
    </row>
    <row r="660" spans="3:5" x14ac:dyDescent="0.25">
      <c r="C660" s="53"/>
      <c r="D660" s="41"/>
      <c r="E660" s="41"/>
    </row>
    <row r="661" spans="3:5" x14ac:dyDescent="0.25">
      <c r="C661" s="53"/>
      <c r="D661" s="41"/>
      <c r="E661" s="41"/>
    </row>
    <row r="662" spans="3:5" x14ac:dyDescent="0.25">
      <c r="C662" s="53"/>
      <c r="D662" s="41"/>
      <c r="E662" s="41"/>
    </row>
    <row r="663" spans="3:5" x14ac:dyDescent="0.25">
      <c r="C663" s="53"/>
      <c r="D663" s="41"/>
      <c r="E663" s="41"/>
    </row>
    <row r="664" spans="3:5" x14ac:dyDescent="0.25">
      <c r="C664" s="53"/>
      <c r="D664" s="41"/>
      <c r="E664" s="41"/>
    </row>
    <row r="665" spans="3:5" x14ac:dyDescent="0.25">
      <c r="C665" s="53"/>
      <c r="D665" s="41"/>
      <c r="E665" s="41"/>
    </row>
    <row r="666" spans="3:5" x14ac:dyDescent="0.25">
      <c r="C666" s="53"/>
      <c r="D666" s="41"/>
      <c r="E666" s="41"/>
    </row>
    <row r="667" spans="3:5" x14ac:dyDescent="0.25">
      <c r="C667" s="53"/>
      <c r="D667" s="41"/>
      <c r="E667" s="41"/>
    </row>
    <row r="668" spans="3:5" x14ac:dyDescent="0.25">
      <c r="C668" s="53"/>
      <c r="D668" s="41"/>
      <c r="E668" s="41"/>
    </row>
    <row r="669" spans="3:5" x14ac:dyDescent="0.25">
      <c r="C669" s="53"/>
      <c r="D669" s="41"/>
      <c r="E669" s="41"/>
    </row>
    <row r="670" spans="3:5" x14ac:dyDescent="0.25">
      <c r="C670" s="53"/>
      <c r="D670" s="41"/>
      <c r="E670" s="41"/>
    </row>
    <row r="671" spans="3:5" x14ac:dyDescent="0.25">
      <c r="C671" s="53"/>
      <c r="D671" s="41"/>
      <c r="E671" s="41"/>
    </row>
    <row r="672" spans="3:5" x14ac:dyDescent="0.25">
      <c r="C672" s="53"/>
      <c r="D672" s="41"/>
      <c r="E672" s="41"/>
    </row>
    <row r="673" spans="3:5" x14ac:dyDescent="0.25">
      <c r="C673" s="53"/>
      <c r="D673" s="41"/>
      <c r="E673" s="41"/>
    </row>
    <row r="674" spans="3:5" x14ac:dyDescent="0.25">
      <c r="C674" s="53"/>
      <c r="D674" s="41"/>
      <c r="E674" s="41"/>
    </row>
    <row r="675" spans="3:5" x14ac:dyDescent="0.25">
      <c r="C675" s="53"/>
      <c r="D675" s="41"/>
      <c r="E675" s="41"/>
    </row>
    <row r="676" spans="3:5" x14ac:dyDescent="0.25">
      <c r="C676" s="53"/>
      <c r="D676" s="41"/>
      <c r="E676" s="41"/>
    </row>
    <row r="677" spans="3:5" x14ac:dyDescent="0.25">
      <c r="C677" s="53"/>
      <c r="D677" s="41"/>
      <c r="E677" s="41"/>
    </row>
    <row r="678" spans="3:5" x14ac:dyDescent="0.25">
      <c r="C678" s="53"/>
      <c r="D678" s="41"/>
      <c r="E678" s="41"/>
    </row>
    <row r="679" spans="3:5" x14ac:dyDescent="0.25">
      <c r="C679" s="53"/>
      <c r="D679" s="41"/>
      <c r="E679" s="41"/>
    </row>
    <row r="680" spans="3:5" x14ac:dyDescent="0.25">
      <c r="C680" s="53"/>
      <c r="D680" s="41"/>
      <c r="E680" s="41"/>
    </row>
    <row r="681" spans="3:5" x14ac:dyDescent="0.25">
      <c r="C681" s="53"/>
      <c r="D681" s="41"/>
      <c r="E681" s="41"/>
    </row>
    <row r="682" spans="3:5" x14ac:dyDescent="0.25">
      <c r="C682" s="53"/>
      <c r="D682" s="41"/>
      <c r="E682" s="41"/>
    </row>
    <row r="683" spans="3:5" x14ac:dyDescent="0.25">
      <c r="C683" s="53"/>
      <c r="D683" s="41"/>
      <c r="E683" s="41"/>
    </row>
    <row r="684" spans="3:5" x14ac:dyDescent="0.25">
      <c r="C684" s="53"/>
      <c r="D684" s="41"/>
      <c r="E684" s="41"/>
    </row>
    <row r="685" spans="3:5" x14ac:dyDescent="0.25">
      <c r="C685" s="53"/>
      <c r="D685" s="41"/>
      <c r="E685" s="41"/>
    </row>
    <row r="686" spans="3:5" x14ac:dyDescent="0.25">
      <c r="C686" s="53"/>
      <c r="D686" s="41"/>
      <c r="E686" s="41"/>
    </row>
    <row r="687" spans="3:5" x14ac:dyDescent="0.25">
      <c r="C687" s="53"/>
      <c r="D687" s="41"/>
      <c r="E687" s="41"/>
    </row>
    <row r="688" spans="3:5" x14ac:dyDescent="0.25">
      <c r="C688" s="53"/>
      <c r="D688" s="41"/>
      <c r="E688" s="41"/>
    </row>
    <row r="689" spans="3:5" x14ac:dyDescent="0.25">
      <c r="C689" s="53"/>
      <c r="D689" s="41"/>
      <c r="E689" s="41"/>
    </row>
    <row r="690" spans="3:5" x14ac:dyDescent="0.25">
      <c r="C690" s="53"/>
      <c r="D690" s="41"/>
      <c r="E690" s="41"/>
    </row>
    <row r="691" spans="3:5" x14ac:dyDescent="0.25">
      <c r="C691" s="53"/>
      <c r="D691" s="41"/>
      <c r="E691" s="41"/>
    </row>
    <row r="692" spans="3:5" x14ac:dyDescent="0.25">
      <c r="C692" s="53"/>
      <c r="D692" s="41"/>
      <c r="E692" s="41"/>
    </row>
    <row r="693" spans="3:5" x14ac:dyDescent="0.25">
      <c r="C693" s="53"/>
      <c r="D693" s="41"/>
      <c r="E693" s="41"/>
    </row>
    <row r="694" spans="3:5" x14ac:dyDescent="0.25">
      <c r="C694" s="53"/>
      <c r="D694" s="41"/>
      <c r="E694" s="41"/>
    </row>
    <row r="695" spans="3:5" x14ac:dyDescent="0.25">
      <c r="C695" s="53"/>
      <c r="D695" s="41"/>
      <c r="E695" s="41"/>
    </row>
    <row r="696" spans="3:5" x14ac:dyDescent="0.25">
      <c r="C696" s="53"/>
      <c r="D696" s="41"/>
      <c r="E696" s="41"/>
    </row>
    <row r="697" spans="3:5" x14ac:dyDescent="0.25">
      <c r="C697" s="53"/>
      <c r="D697" s="41"/>
      <c r="E697" s="41"/>
    </row>
    <row r="698" spans="3:5" x14ac:dyDescent="0.25">
      <c r="C698" s="53"/>
      <c r="D698" s="41"/>
      <c r="E698" s="41"/>
    </row>
    <row r="699" spans="3:5" x14ac:dyDescent="0.25">
      <c r="C699" s="53"/>
      <c r="D699" s="41"/>
      <c r="E699" s="41"/>
    </row>
    <row r="700" spans="3:5" x14ac:dyDescent="0.25">
      <c r="C700" s="53"/>
      <c r="D700" s="41"/>
      <c r="E700" s="41"/>
    </row>
    <row r="701" spans="3:5" x14ac:dyDescent="0.25">
      <c r="C701" s="53"/>
      <c r="D701" s="41"/>
      <c r="E701" s="41"/>
    </row>
    <row r="702" spans="3:5" x14ac:dyDescent="0.25">
      <c r="C702" s="53"/>
      <c r="D702" s="41"/>
      <c r="E702" s="41"/>
    </row>
    <row r="703" spans="3:5" x14ac:dyDescent="0.25">
      <c r="C703" s="53"/>
      <c r="D703" s="41"/>
      <c r="E703" s="41"/>
    </row>
    <row r="704" spans="3:5" x14ac:dyDescent="0.25">
      <c r="C704" s="53"/>
      <c r="D704" s="41"/>
      <c r="E704" s="41"/>
    </row>
    <row r="705" spans="3:5" x14ac:dyDescent="0.25">
      <c r="C705" s="53"/>
      <c r="D705" s="41"/>
      <c r="E705" s="41"/>
    </row>
    <row r="706" spans="3:5" x14ac:dyDescent="0.25">
      <c r="C706" s="53"/>
      <c r="D706" s="41"/>
      <c r="E706" s="41"/>
    </row>
    <row r="707" spans="3:5" x14ac:dyDescent="0.25">
      <c r="C707" s="53"/>
      <c r="D707" s="41"/>
      <c r="E707" s="41"/>
    </row>
    <row r="708" spans="3:5" x14ac:dyDescent="0.25">
      <c r="C708" s="53"/>
      <c r="D708" s="41"/>
      <c r="E708" s="41"/>
    </row>
    <row r="709" spans="3:5" x14ac:dyDescent="0.25">
      <c r="C709" s="53"/>
      <c r="D709" s="41"/>
      <c r="E709" s="41"/>
    </row>
    <row r="710" spans="3:5" x14ac:dyDescent="0.25">
      <c r="C710" s="53"/>
      <c r="D710" s="41"/>
      <c r="E710" s="41"/>
    </row>
    <row r="711" spans="3:5" x14ac:dyDescent="0.25">
      <c r="C711" s="53"/>
      <c r="D711" s="41"/>
      <c r="E711" s="41"/>
    </row>
    <row r="712" spans="3:5" x14ac:dyDescent="0.25">
      <c r="C712" s="53"/>
      <c r="D712" s="41"/>
      <c r="E712" s="41"/>
    </row>
    <row r="713" spans="3:5" x14ac:dyDescent="0.25">
      <c r="C713" s="53"/>
      <c r="D713" s="41"/>
      <c r="E713" s="41"/>
    </row>
    <row r="714" spans="3:5" x14ac:dyDescent="0.25">
      <c r="C714" s="53"/>
      <c r="D714" s="41"/>
      <c r="E714" s="41"/>
    </row>
    <row r="715" spans="3:5" x14ac:dyDescent="0.25">
      <c r="C715" s="53"/>
      <c r="D715" s="41"/>
      <c r="E715" s="41"/>
    </row>
    <row r="716" spans="3:5" x14ac:dyDescent="0.25">
      <c r="C716" s="53"/>
      <c r="D716" s="41"/>
      <c r="E716" s="41"/>
    </row>
    <row r="717" spans="3:5" x14ac:dyDescent="0.25">
      <c r="C717" s="53"/>
      <c r="D717" s="41"/>
      <c r="E717" s="41"/>
    </row>
    <row r="718" spans="3:5" x14ac:dyDescent="0.25">
      <c r="C718" s="53"/>
      <c r="D718" s="41"/>
      <c r="E718" s="41"/>
    </row>
    <row r="719" spans="3:5" x14ac:dyDescent="0.25">
      <c r="C719" s="53"/>
      <c r="D719" s="41"/>
      <c r="E719" s="41"/>
    </row>
    <row r="720" spans="3:5" x14ac:dyDescent="0.25">
      <c r="C720" s="53"/>
      <c r="D720" s="41"/>
      <c r="E720" s="41"/>
    </row>
    <row r="721" spans="3:5" x14ac:dyDescent="0.25">
      <c r="C721" s="53"/>
      <c r="D721" s="41"/>
      <c r="E721" s="41"/>
    </row>
    <row r="722" spans="3:5" x14ac:dyDescent="0.25">
      <c r="C722" s="53"/>
      <c r="D722" s="41"/>
      <c r="E722" s="41"/>
    </row>
    <row r="723" spans="3:5" x14ac:dyDescent="0.25">
      <c r="C723" s="53"/>
      <c r="D723" s="41"/>
      <c r="E723" s="41"/>
    </row>
    <row r="724" spans="3:5" x14ac:dyDescent="0.25">
      <c r="C724" s="53"/>
      <c r="D724" s="41"/>
      <c r="E724" s="41"/>
    </row>
    <row r="725" spans="3:5" x14ac:dyDescent="0.25">
      <c r="C725" s="53"/>
      <c r="D725" s="41"/>
      <c r="E725" s="41"/>
    </row>
    <row r="726" spans="3:5" x14ac:dyDescent="0.25">
      <c r="C726" s="53"/>
      <c r="D726" s="41"/>
      <c r="E726" s="41"/>
    </row>
    <row r="727" spans="3:5" x14ac:dyDescent="0.25">
      <c r="C727" s="53"/>
      <c r="D727" s="41"/>
      <c r="E727" s="41"/>
    </row>
    <row r="728" spans="3:5" x14ac:dyDescent="0.25">
      <c r="C728" s="53"/>
      <c r="D728" s="41"/>
      <c r="E728" s="41"/>
    </row>
    <row r="729" spans="3:5" x14ac:dyDescent="0.25">
      <c r="C729" s="53"/>
      <c r="D729" s="41"/>
      <c r="E729" s="41"/>
    </row>
    <row r="730" spans="3:5" x14ac:dyDescent="0.25">
      <c r="C730" s="53"/>
      <c r="D730" s="41"/>
      <c r="E730" s="41"/>
    </row>
    <row r="731" spans="3:5" x14ac:dyDescent="0.25">
      <c r="C731" s="53"/>
      <c r="D731" s="41"/>
      <c r="E731" s="41"/>
    </row>
    <row r="732" spans="3:5" x14ac:dyDescent="0.25">
      <c r="C732" s="53"/>
      <c r="D732" s="41"/>
      <c r="E732" s="41"/>
    </row>
    <row r="733" spans="3:5" x14ac:dyDescent="0.25">
      <c r="C733" s="53"/>
      <c r="D733" s="41"/>
      <c r="E733" s="41"/>
    </row>
    <row r="734" spans="3:5" x14ac:dyDescent="0.25">
      <c r="C734" s="53"/>
      <c r="D734" s="41"/>
      <c r="E734" s="41"/>
    </row>
    <row r="735" spans="3:5" x14ac:dyDescent="0.25">
      <c r="C735" s="53"/>
      <c r="D735" s="41"/>
      <c r="E735" s="41"/>
    </row>
    <row r="736" spans="3:5" x14ac:dyDescent="0.25">
      <c r="C736" s="53"/>
      <c r="D736" s="41"/>
      <c r="E736" s="41"/>
    </row>
    <row r="737" spans="3:5" x14ac:dyDescent="0.25">
      <c r="C737" s="53"/>
      <c r="D737" s="41"/>
      <c r="E737" s="41"/>
    </row>
    <row r="738" spans="3:5" x14ac:dyDescent="0.25">
      <c r="C738" s="53"/>
      <c r="D738" s="41"/>
      <c r="E738" s="41"/>
    </row>
    <row r="739" spans="3:5" x14ac:dyDescent="0.25">
      <c r="C739" s="53"/>
      <c r="D739" s="41"/>
      <c r="E739" s="41"/>
    </row>
    <row r="740" spans="3:5" x14ac:dyDescent="0.25">
      <c r="C740" s="53"/>
      <c r="D740" s="41"/>
      <c r="E740" s="41"/>
    </row>
    <row r="741" spans="3:5" x14ac:dyDescent="0.25">
      <c r="C741" s="53"/>
      <c r="D741" s="41"/>
      <c r="E741" s="41"/>
    </row>
    <row r="742" spans="3:5" x14ac:dyDescent="0.25">
      <c r="C742" s="53"/>
      <c r="D742" s="41"/>
      <c r="E742" s="41"/>
    </row>
    <row r="743" spans="3:5" x14ac:dyDescent="0.25">
      <c r="C743" s="53"/>
      <c r="D743" s="41"/>
      <c r="E743" s="41"/>
    </row>
    <row r="744" spans="3:5" x14ac:dyDescent="0.25">
      <c r="C744" s="53"/>
      <c r="D744" s="41"/>
      <c r="E744" s="41"/>
    </row>
    <row r="745" spans="3:5" x14ac:dyDescent="0.25">
      <c r="C745" s="53"/>
      <c r="D745" s="41"/>
      <c r="E745" s="41"/>
    </row>
    <row r="746" spans="3:5" x14ac:dyDescent="0.25">
      <c r="C746" s="53"/>
      <c r="D746" s="41"/>
      <c r="E746" s="41"/>
    </row>
    <row r="747" spans="3:5" x14ac:dyDescent="0.25">
      <c r="C747" s="53"/>
      <c r="D747" s="41"/>
      <c r="E747" s="41"/>
    </row>
    <row r="748" spans="3:5" x14ac:dyDescent="0.25">
      <c r="C748" s="53"/>
      <c r="D748" s="41"/>
      <c r="E748" s="41"/>
    </row>
    <row r="749" spans="3:5" x14ac:dyDescent="0.25">
      <c r="C749" s="53"/>
      <c r="D749" s="41"/>
      <c r="E749" s="41"/>
    </row>
    <row r="750" spans="3:5" x14ac:dyDescent="0.25">
      <c r="C750" s="53"/>
      <c r="D750" s="41"/>
      <c r="E750" s="41"/>
    </row>
    <row r="751" spans="3:5" x14ac:dyDescent="0.25">
      <c r="C751" s="53"/>
      <c r="D751" s="41"/>
      <c r="E751" s="41"/>
    </row>
    <row r="752" spans="3:5" x14ac:dyDescent="0.25">
      <c r="C752" s="53"/>
      <c r="D752" s="41"/>
      <c r="E752" s="41"/>
    </row>
    <row r="753" spans="3:5" x14ac:dyDescent="0.25">
      <c r="C753" s="53"/>
      <c r="D753" s="41"/>
      <c r="E753" s="41"/>
    </row>
    <row r="754" spans="3:5" x14ac:dyDescent="0.25">
      <c r="C754" s="53"/>
      <c r="D754" s="41"/>
      <c r="E754" s="41"/>
    </row>
    <row r="755" spans="3:5" x14ac:dyDescent="0.25">
      <c r="C755" s="53"/>
      <c r="D755" s="41"/>
      <c r="E755" s="41"/>
    </row>
    <row r="756" spans="3:5" x14ac:dyDescent="0.25">
      <c r="C756" s="53"/>
      <c r="D756" s="41"/>
      <c r="E756" s="41"/>
    </row>
    <row r="757" spans="3:5" x14ac:dyDescent="0.25">
      <c r="C757" s="53"/>
      <c r="D757" s="41"/>
      <c r="E757" s="41"/>
    </row>
    <row r="758" spans="3:5" x14ac:dyDescent="0.25">
      <c r="C758" s="53"/>
      <c r="D758" s="41"/>
      <c r="E758" s="41"/>
    </row>
    <row r="759" spans="3:5" x14ac:dyDescent="0.25">
      <c r="C759" s="53"/>
      <c r="D759" s="41"/>
      <c r="E759" s="41"/>
    </row>
    <row r="760" spans="3:5" x14ac:dyDescent="0.25">
      <c r="C760" s="53"/>
      <c r="D760" s="41"/>
      <c r="E760" s="41"/>
    </row>
    <row r="761" spans="3:5" x14ac:dyDescent="0.25">
      <c r="C761" s="53"/>
      <c r="D761" s="41"/>
      <c r="E761" s="41"/>
    </row>
    <row r="762" spans="3:5" x14ac:dyDescent="0.25">
      <c r="C762" s="53"/>
      <c r="D762" s="41"/>
      <c r="E762" s="41"/>
    </row>
    <row r="763" spans="3:5" x14ac:dyDescent="0.25">
      <c r="C763" s="53"/>
      <c r="D763" s="41"/>
      <c r="E763" s="41"/>
    </row>
    <row r="764" spans="3:5" x14ac:dyDescent="0.25">
      <c r="C764" s="53"/>
      <c r="D764" s="41"/>
      <c r="E764" s="41"/>
    </row>
    <row r="765" spans="3:5" x14ac:dyDescent="0.25">
      <c r="C765" s="53"/>
      <c r="D765" s="41"/>
      <c r="E765" s="41"/>
    </row>
    <row r="766" spans="3:5" x14ac:dyDescent="0.25">
      <c r="C766" s="53"/>
      <c r="D766" s="41"/>
      <c r="E766" s="41"/>
    </row>
    <row r="767" spans="3:5" x14ac:dyDescent="0.25">
      <c r="C767" s="53"/>
      <c r="D767" s="41"/>
      <c r="E767" s="41"/>
    </row>
    <row r="768" spans="3:5" x14ac:dyDescent="0.25">
      <c r="C768" s="53"/>
      <c r="D768" s="41"/>
      <c r="E768" s="41"/>
    </row>
    <row r="769" spans="3:5" x14ac:dyDescent="0.25">
      <c r="C769" s="53"/>
      <c r="D769" s="41"/>
      <c r="E769" s="41"/>
    </row>
    <row r="770" spans="3:5" x14ac:dyDescent="0.25">
      <c r="C770" s="53"/>
      <c r="D770" s="41"/>
      <c r="E770" s="41"/>
    </row>
    <row r="771" spans="3:5" x14ac:dyDescent="0.25">
      <c r="C771" s="53"/>
      <c r="D771" s="41"/>
      <c r="E771" s="41"/>
    </row>
    <row r="772" spans="3:5" x14ac:dyDescent="0.25">
      <c r="C772" s="53"/>
      <c r="D772" s="41"/>
      <c r="E772" s="41"/>
    </row>
    <row r="773" spans="3:5" x14ac:dyDescent="0.25">
      <c r="C773" s="53"/>
      <c r="D773" s="41"/>
      <c r="E773" s="41"/>
    </row>
    <row r="774" spans="3:5" x14ac:dyDescent="0.25">
      <c r="C774" s="53"/>
      <c r="D774" s="41"/>
      <c r="E774" s="41"/>
    </row>
    <row r="775" spans="3:5" x14ac:dyDescent="0.25">
      <c r="C775" s="53"/>
      <c r="D775" s="41"/>
      <c r="E775" s="41"/>
    </row>
    <row r="776" spans="3:5" x14ac:dyDescent="0.25">
      <c r="C776" s="53"/>
      <c r="D776" s="41"/>
      <c r="E776" s="41"/>
    </row>
    <row r="777" spans="3:5" x14ac:dyDescent="0.25">
      <c r="C777" s="53"/>
      <c r="D777" s="41"/>
      <c r="E777" s="41"/>
    </row>
    <row r="778" spans="3:5" x14ac:dyDescent="0.25">
      <c r="C778" s="53"/>
      <c r="D778" s="41"/>
      <c r="E778" s="41"/>
    </row>
    <row r="779" spans="3:5" x14ac:dyDescent="0.25">
      <c r="C779" s="53"/>
      <c r="D779" s="41"/>
      <c r="E779" s="41"/>
    </row>
    <row r="780" spans="3:5" x14ac:dyDescent="0.25">
      <c r="C780" s="53"/>
      <c r="D780" s="41"/>
      <c r="E780" s="41"/>
    </row>
    <row r="781" spans="3:5" x14ac:dyDescent="0.25">
      <c r="C781" s="53"/>
      <c r="D781" s="41"/>
      <c r="E781" s="41"/>
    </row>
    <row r="782" spans="3:5" x14ac:dyDescent="0.25">
      <c r="C782" s="53"/>
      <c r="D782" s="41"/>
      <c r="E782" s="41"/>
    </row>
    <row r="783" spans="3:5" x14ac:dyDescent="0.25">
      <c r="C783" s="53"/>
      <c r="D783" s="41"/>
      <c r="E783" s="41"/>
    </row>
    <row r="784" spans="3:5" x14ac:dyDescent="0.25">
      <c r="C784" s="53"/>
      <c r="D784" s="41"/>
      <c r="E784" s="41"/>
    </row>
    <row r="785" spans="3:5" x14ac:dyDescent="0.25">
      <c r="C785" s="53"/>
      <c r="D785" s="41"/>
      <c r="E785" s="41"/>
    </row>
    <row r="786" spans="3:5" x14ac:dyDescent="0.25">
      <c r="C786" s="53"/>
      <c r="D786" s="41"/>
      <c r="E786" s="41"/>
    </row>
    <row r="787" spans="3:5" x14ac:dyDescent="0.25">
      <c r="C787" s="53"/>
      <c r="D787" s="41"/>
      <c r="E787" s="41"/>
    </row>
    <row r="788" spans="3:5" x14ac:dyDescent="0.25">
      <c r="C788" s="53"/>
      <c r="D788" s="41"/>
      <c r="E788" s="41"/>
    </row>
    <row r="789" spans="3:5" x14ac:dyDescent="0.25">
      <c r="C789" s="53"/>
      <c r="D789" s="41"/>
      <c r="E789" s="41"/>
    </row>
    <row r="790" spans="3:5" x14ac:dyDescent="0.25">
      <c r="C790" s="53"/>
      <c r="D790" s="41"/>
      <c r="E790" s="41"/>
    </row>
    <row r="791" spans="3:5" x14ac:dyDescent="0.25">
      <c r="C791" s="53"/>
      <c r="D791" s="41"/>
      <c r="E791" s="41"/>
    </row>
    <row r="792" spans="3:5" x14ac:dyDescent="0.25">
      <c r="C792" s="53"/>
      <c r="D792" s="41"/>
      <c r="E792" s="41"/>
    </row>
    <row r="793" spans="3:5" x14ac:dyDescent="0.25">
      <c r="C793" s="53"/>
      <c r="D793" s="41"/>
      <c r="E793" s="41"/>
    </row>
    <row r="794" spans="3:5" x14ac:dyDescent="0.25">
      <c r="C794" s="53"/>
      <c r="D794" s="41"/>
      <c r="E794" s="41"/>
    </row>
    <row r="795" spans="3:5" x14ac:dyDescent="0.25">
      <c r="C795" s="53"/>
      <c r="D795" s="41"/>
      <c r="E795" s="41"/>
    </row>
    <row r="796" spans="3:5" x14ac:dyDescent="0.25">
      <c r="C796" s="53"/>
      <c r="D796" s="41"/>
      <c r="E796" s="41"/>
    </row>
    <row r="797" spans="3:5" x14ac:dyDescent="0.25">
      <c r="C797" s="53"/>
      <c r="D797" s="41"/>
      <c r="E797" s="41"/>
    </row>
    <row r="798" spans="3:5" x14ac:dyDescent="0.25">
      <c r="C798" s="53"/>
      <c r="D798" s="41"/>
      <c r="E798" s="41"/>
    </row>
    <row r="799" spans="3:5" x14ac:dyDescent="0.25">
      <c r="C799" s="53"/>
      <c r="D799" s="41"/>
      <c r="E799" s="41"/>
    </row>
    <row r="800" spans="3:5" x14ac:dyDescent="0.25">
      <c r="C800" s="53"/>
      <c r="D800" s="41"/>
      <c r="E800" s="41"/>
    </row>
    <row r="801" spans="3:5" x14ac:dyDescent="0.25">
      <c r="C801" s="53"/>
      <c r="D801" s="41"/>
      <c r="E801" s="41"/>
    </row>
    <row r="802" spans="3:5" x14ac:dyDescent="0.25">
      <c r="C802" s="53"/>
      <c r="D802" s="41"/>
      <c r="E802" s="41"/>
    </row>
    <row r="803" spans="3:5" x14ac:dyDescent="0.25">
      <c r="C803" s="53"/>
      <c r="D803" s="41"/>
      <c r="E803" s="41"/>
    </row>
    <row r="804" spans="3:5" x14ac:dyDescent="0.25">
      <c r="C804" s="53"/>
      <c r="D804" s="41"/>
      <c r="E804" s="41"/>
    </row>
    <row r="805" spans="3:5" x14ac:dyDescent="0.25">
      <c r="C805" s="53"/>
      <c r="D805" s="41"/>
      <c r="E805" s="41"/>
    </row>
    <row r="806" spans="3:5" x14ac:dyDescent="0.25">
      <c r="C806" s="53"/>
      <c r="D806" s="41"/>
      <c r="E806" s="41"/>
    </row>
    <row r="807" spans="3:5" x14ac:dyDescent="0.25">
      <c r="C807" s="53"/>
      <c r="D807" s="41"/>
      <c r="E807" s="41"/>
    </row>
    <row r="808" spans="3:5" x14ac:dyDescent="0.25">
      <c r="C808" s="53"/>
      <c r="D808" s="41"/>
      <c r="E808" s="41"/>
    </row>
    <row r="809" spans="3:5" x14ac:dyDescent="0.25">
      <c r="C809" s="53"/>
      <c r="D809" s="41"/>
      <c r="E809" s="41"/>
    </row>
    <row r="810" spans="3:5" x14ac:dyDescent="0.25">
      <c r="C810" s="53"/>
      <c r="D810" s="41"/>
      <c r="E810" s="41"/>
    </row>
    <row r="811" spans="3:5" x14ac:dyDescent="0.25">
      <c r="C811" s="53"/>
      <c r="D811" s="41"/>
      <c r="E811" s="41"/>
    </row>
    <row r="812" spans="3:5" x14ac:dyDescent="0.25">
      <c r="C812" s="53"/>
      <c r="D812" s="41"/>
      <c r="E812" s="41"/>
    </row>
    <row r="813" spans="3:5" x14ac:dyDescent="0.25">
      <c r="C813" s="53"/>
      <c r="D813" s="41"/>
      <c r="E813" s="41"/>
    </row>
    <row r="814" spans="3:5" x14ac:dyDescent="0.25">
      <c r="C814" s="53"/>
      <c r="D814" s="41"/>
      <c r="E814" s="41"/>
    </row>
    <row r="815" spans="3:5" x14ac:dyDescent="0.25">
      <c r="C815" s="53"/>
      <c r="D815" s="41"/>
      <c r="E815" s="41"/>
    </row>
    <row r="816" spans="3:5" x14ac:dyDescent="0.25">
      <c r="C816" s="53"/>
      <c r="D816" s="41"/>
      <c r="E816" s="41"/>
    </row>
    <row r="817" spans="3:5" x14ac:dyDescent="0.25">
      <c r="C817" s="53"/>
      <c r="D817" s="41"/>
      <c r="E817" s="41"/>
    </row>
    <row r="818" spans="3:5" x14ac:dyDescent="0.25">
      <c r="C818" s="53"/>
      <c r="D818" s="41"/>
      <c r="E818" s="41"/>
    </row>
    <row r="819" spans="3:5" x14ac:dyDescent="0.25">
      <c r="C819" s="53"/>
      <c r="D819" s="41"/>
      <c r="E819" s="41"/>
    </row>
    <row r="820" spans="3:5" x14ac:dyDescent="0.25">
      <c r="C820" s="53"/>
      <c r="D820" s="41"/>
      <c r="E820" s="41"/>
    </row>
    <row r="821" spans="3:5" x14ac:dyDescent="0.25">
      <c r="C821" s="53"/>
      <c r="D821" s="41"/>
      <c r="E821" s="41"/>
    </row>
    <row r="822" spans="3:5" x14ac:dyDescent="0.25">
      <c r="C822" s="53"/>
      <c r="D822" s="41"/>
      <c r="E822" s="41"/>
    </row>
    <row r="823" spans="3:5" x14ac:dyDescent="0.25">
      <c r="C823" s="53"/>
      <c r="D823" s="41"/>
      <c r="E823" s="41"/>
    </row>
    <row r="824" spans="3:5" x14ac:dyDescent="0.25">
      <c r="C824" s="53"/>
      <c r="D824" s="41"/>
      <c r="E824" s="41"/>
    </row>
    <row r="825" spans="3:5" x14ac:dyDescent="0.25">
      <c r="C825" s="53"/>
      <c r="D825" s="41"/>
      <c r="E825" s="41"/>
    </row>
    <row r="826" spans="3:5" x14ac:dyDescent="0.25">
      <c r="C826" s="53"/>
      <c r="D826" s="41"/>
      <c r="E826" s="41"/>
    </row>
    <row r="827" spans="3:5" x14ac:dyDescent="0.25">
      <c r="C827" s="53"/>
      <c r="D827" s="41"/>
      <c r="E827" s="41"/>
    </row>
    <row r="828" spans="3:5" x14ac:dyDescent="0.25">
      <c r="C828" s="53"/>
      <c r="D828" s="41"/>
      <c r="E828" s="41"/>
    </row>
    <row r="829" spans="3:5" x14ac:dyDescent="0.25">
      <c r="C829" s="53"/>
      <c r="D829" s="41"/>
      <c r="E829" s="41"/>
    </row>
    <row r="830" spans="3:5" x14ac:dyDescent="0.25">
      <c r="C830" s="53"/>
      <c r="D830" s="41"/>
      <c r="E830" s="41"/>
    </row>
    <row r="831" spans="3:5" x14ac:dyDescent="0.25">
      <c r="C831" s="53"/>
      <c r="D831" s="41"/>
      <c r="E831" s="41"/>
    </row>
    <row r="832" spans="3:5" x14ac:dyDescent="0.25">
      <c r="C832" s="53"/>
      <c r="D832" s="41"/>
      <c r="E832" s="41"/>
    </row>
    <row r="833" spans="3:5" x14ac:dyDescent="0.25">
      <c r="C833" s="53"/>
      <c r="D833" s="41"/>
      <c r="E833" s="41"/>
    </row>
    <row r="834" spans="3:5" x14ac:dyDescent="0.25">
      <c r="C834" s="53"/>
      <c r="D834" s="41"/>
      <c r="E834" s="41"/>
    </row>
    <row r="835" spans="3:5" x14ac:dyDescent="0.25">
      <c r="C835" s="53"/>
      <c r="D835" s="41"/>
      <c r="E835" s="41"/>
    </row>
    <row r="836" spans="3:5" x14ac:dyDescent="0.25">
      <c r="C836" s="53"/>
      <c r="D836" s="41"/>
      <c r="E836" s="41"/>
    </row>
    <row r="837" spans="3:5" x14ac:dyDescent="0.25">
      <c r="C837" s="53"/>
      <c r="D837" s="41"/>
      <c r="E837" s="41"/>
    </row>
    <row r="838" spans="3:5" x14ac:dyDescent="0.25">
      <c r="C838" s="53"/>
      <c r="D838" s="41"/>
      <c r="E838" s="41"/>
    </row>
    <row r="839" spans="3:5" x14ac:dyDescent="0.25">
      <c r="C839" s="53"/>
      <c r="D839" s="41"/>
      <c r="E839" s="41"/>
    </row>
    <row r="840" spans="3:5" x14ac:dyDescent="0.25">
      <c r="C840" s="53"/>
      <c r="D840" s="41"/>
      <c r="E840" s="41"/>
    </row>
    <row r="841" spans="3:5" x14ac:dyDescent="0.25">
      <c r="C841" s="53"/>
      <c r="D841" s="41"/>
      <c r="E841" s="41"/>
    </row>
    <row r="842" spans="3:5" x14ac:dyDescent="0.25">
      <c r="C842" s="53"/>
      <c r="D842" s="41"/>
      <c r="E842" s="41"/>
    </row>
    <row r="843" spans="3:5" x14ac:dyDescent="0.25">
      <c r="C843" s="53"/>
      <c r="D843" s="41"/>
      <c r="E843" s="41"/>
    </row>
    <row r="844" spans="3:5" x14ac:dyDescent="0.25">
      <c r="C844" s="53"/>
      <c r="D844" s="41"/>
      <c r="E844" s="41"/>
    </row>
    <row r="845" spans="3:5" x14ac:dyDescent="0.25">
      <c r="C845" s="53"/>
      <c r="D845" s="41"/>
      <c r="E845" s="41"/>
    </row>
    <row r="846" spans="3:5" x14ac:dyDescent="0.25">
      <c r="C846" s="53"/>
      <c r="D846" s="41"/>
      <c r="E846" s="41"/>
    </row>
    <row r="847" spans="3:5" x14ac:dyDescent="0.25">
      <c r="C847" s="53"/>
      <c r="D847" s="41"/>
      <c r="E847" s="41"/>
    </row>
    <row r="848" spans="3:5" x14ac:dyDescent="0.25">
      <c r="C848" s="53"/>
      <c r="D848" s="41"/>
      <c r="E848" s="41"/>
    </row>
    <row r="849" spans="3:5" x14ac:dyDescent="0.25">
      <c r="C849" s="53"/>
      <c r="D849" s="41"/>
      <c r="E849" s="41"/>
    </row>
    <row r="850" spans="3:5" x14ac:dyDescent="0.25">
      <c r="C850" s="53"/>
      <c r="D850" s="41"/>
      <c r="E850" s="41"/>
    </row>
    <row r="851" spans="3:5" x14ac:dyDescent="0.25">
      <c r="C851" s="53"/>
      <c r="D851" s="41"/>
      <c r="E851" s="41"/>
    </row>
    <row r="852" spans="3:5" x14ac:dyDescent="0.25">
      <c r="C852" s="53"/>
      <c r="D852" s="41"/>
      <c r="E852" s="41"/>
    </row>
    <row r="853" spans="3:5" x14ac:dyDescent="0.25">
      <c r="C853" s="53"/>
      <c r="D853" s="41"/>
      <c r="E853" s="41"/>
    </row>
    <row r="854" spans="3:5" x14ac:dyDescent="0.25">
      <c r="C854" s="53"/>
      <c r="D854" s="41"/>
      <c r="E854" s="41"/>
    </row>
    <row r="855" spans="3:5" x14ac:dyDescent="0.25">
      <c r="C855" s="53"/>
      <c r="D855" s="41"/>
      <c r="E855" s="41"/>
    </row>
    <row r="856" spans="3:5" x14ac:dyDescent="0.25">
      <c r="C856" s="53"/>
      <c r="D856" s="41"/>
      <c r="E856" s="41"/>
    </row>
    <row r="857" spans="3:5" x14ac:dyDescent="0.25">
      <c r="C857" s="53"/>
      <c r="D857" s="41"/>
      <c r="E857" s="41"/>
    </row>
    <row r="858" spans="3:5" x14ac:dyDescent="0.25">
      <c r="C858" s="53"/>
      <c r="D858" s="41"/>
      <c r="E858" s="41"/>
    </row>
    <row r="859" spans="3:5" x14ac:dyDescent="0.25">
      <c r="C859" s="53"/>
      <c r="D859" s="41"/>
      <c r="E859" s="41"/>
    </row>
    <row r="860" spans="3:5" x14ac:dyDescent="0.25">
      <c r="C860" s="53"/>
      <c r="D860" s="41"/>
      <c r="E860" s="41"/>
    </row>
    <row r="861" spans="3:5" x14ac:dyDescent="0.25">
      <c r="C861" s="53"/>
      <c r="D861" s="41"/>
      <c r="E861" s="41"/>
    </row>
    <row r="862" spans="3:5" x14ac:dyDescent="0.25">
      <c r="C862" s="53"/>
      <c r="D862" s="41"/>
      <c r="E862" s="41"/>
    </row>
    <row r="863" spans="3:5" x14ac:dyDescent="0.25">
      <c r="C863" s="53"/>
      <c r="D863" s="41"/>
      <c r="E863" s="41"/>
    </row>
    <row r="864" spans="3:5" x14ac:dyDescent="0.25">
      <c r="C864" s="53"/>
      <c r="D864" s="41"/>
      <c r="E864" s="41"/>
    </row>
    <row r="865" spans="3:5" x14ac:dyDescent="0.25">
      <c r="C865" s="53"/>
      <c r="D865" s="41"/>
      <c r="E865" s="41"/>
    </row>
    <row r="866" spans="3:5" x14ac:dyDescent="0.25">
      <c r="C866" s="53"/>
      <c r="D866" s="41"/>
      <c r="E866" s="41"/>
    </row>
    <row r="867" spans="3:5" x14ac:dyDescent="0.25">
      <c r="C867" s="53"/>
      <c r="D867" s="41"/>
      <c r="E867" s="41"/>
    </row>
    <row r="868" spans="3:5" x14ac:dyDescent="0.25">
      <c r="C868" s="53"/>
      <c r="D868" s="41"/>
      <c r="E868" s="41"/>
    </row>
    <row r="869" spans="3:5" x14ac:dyDescent="0.25">
      <c r="C869" s="53"/>
      <c r="D869" s="41"/>
      <c r="E869" s="41"/>
    </row>
    <row r="870" spans="3:5" x14ac:dyDescent="0.25">
      <c r="C870" s="53"/>
      <c r="D870" s="41"/>
      <c r="E870" s="41"/>
    </row>
    <row r="871" spans="3:5" x14ac:dyDescent="0.25">
      <c r="C871" s="53"/>
      <c r="D871" s="41"/>
      <c r="E871" s="41"/>
    </row>
    <row r="872" spans="3:5" x14ac:dyDescent="0.25">
      <c r="C872" s="53"/>
      <c r="D872" s="41"/>
      <c r="E872" s="41"/>
    </row>
    <row r="873" spans="3:5" x14ac:dyDescent="0.25">
      <c r="C873" s="53"/>
      <c r="D873" s="41"/>
      <c r="E873" s="41"/>
    </row>
    <row r="874" spans="3:5" x14ac:dyDescent="0.25">
      <c r="C874" s="53"/>
      <c r="D874" s="41"/>
      <c r="E874" s="41"/>
    </row>
    <row r="875" spans="3:5" x14ac:dyDescent="0.25">
      <c r="C875" s="53"/>
      <c r="D875" s="41"/>
      <c r="E875" s="41"/>
    </row>
    <row r="876" spans="3:5" x14ac:dyDescent="0.25">
      <c r="C876" s="53"/>
      <c r="D876" s="41"/>
      <c r="E876" s="41"/>
    </row>
    <row r="877" spans="3:5" x14ac:dyDescent="0.25">
      <c r="C877" s="53"/>
      <c r="D877" s="41"/>
      <c r="E877" s="41"/>
    </row>
    <row r="878" spans="3:5" x14ac:dyDescent="0.25">
      <c r="C878" s="53"/>
      <c r="D878" s="41"/>
      <c r="E878" s="41"/>
    </row>
    <row r="879" spans="3:5" x14ac:dyDescent="0.25">
      <c r="C879" s="53"/>
      <c r="D879" s="41"/>
      <c r="E879" s="41"/>
    </row>
    <row r="880" spans="3:5" x14ac:dyDescent="0.25">
      <c r="C880" s="53"/>
      <c r="D880" s="41"/>
      <c r="E880" s="41"/>
    </row>
    <row r="881" spans="3:5" x14ac:dyDescent="0.25">
      <c r="C881" s="53"/>
      <c r="D881" s="41"/>
      <c r="E881" s="41"/>
    </row>
    <row r="882" spans="3:5" x14ac:dyDescent="0.25">
      <c r="C882" s="53"/>
      <c r="D882" s="41"/>
      <c r="E882" s="41"/>
    </row>
    <row r="883" spans="3:5" x14ac:dyDescent="0.25">
      <c r="C883" s="53"/>
      <c r="D883" s="41"/>
      <c r="E883" s="41"/>
    </row>
    <row r="884" spans="3:5" x14ac:dyDescent="0.25">
      <c r="C884" s="53"/>
      <c r="D884" s="41"/>
      <c r="E884" s="41"/>
    </row>
    <row r="885" spans="3:5" x14ac:dyDescent="0.25">
      <c r="C885" s="53"/>
      <c r="D885" s="41"/>
      <c r="E885" s="41"/>
    </row>
    <row r="886" spans="3:5" x14ac:dyDescent="0.25">
      <c r="C886" s="53"/>
      <c r="D886" s="41"/>
      <c r="E886" s="41"/>
    </row>
    <row r="887" spans="3:5" x14ac:dyDescent="0.25">
      <c r="C887" s="53"/>
      <c r="D887" s="41"/>
      <c r="E887" s="41"/>
    </row>
    <row r="888" spans="3:5" x14ac:dyDescent="0.25">
      <c r="C888" s="53"/>
      <c r="D888" s="41"/>
      <c r="E888" s="41"/>
    </row>
    <row r="889" spans="3:5" x14ac:dyDescent="0.25">
      <c r="C889" s="53"/>
      <c r="D889" s="41"/>
      <c r="E889" s="41"/>
    </row>
    <row r="890" spans="3:5" x14ac:dyDescent="0.25">
      <c r="C890" s="53"/>
      <c r="D890" s="41"/>
      <c r="E890" s="41"/>
    </row>
    <row r="891" spans="3:5" x14ac:dyDescent="0.25">
      <c r="C891" s="53"/>
      <c r="D891" s="41"/>
      <c r="E891" s="41"/>
    </row>
    <row r="892" spans="3:5" x14ac:dyDescent="0.25">
      <c r="C892" s="53"/>
      <c r="D892" s="41"/>
      <c r="E892" s="41"/>
    </row>
    <row r="893" spans="3:5" x14ac:dyDescent="0.25">
      <c r="C893" s="53"/>
      <c r="D893" s="41"/>
      <c r="E893" s="41"/>
    </row>
    <row r="894" spans="3:5" x14ac:dyDescent="0.25">
      <c r="C894" s="53"/>
      <c r="D894" s="41"/>
      <c r="E894" s="41"/>
    </row>
    <row r="895" spans="3:5" x14ac:dyDescent="0.25">
      <c r="C895" s="53"/>
      <c r="D895" s="41"/>
      <c r="E895" s="41"/>
    </row>
    <row r="896" spans="3:5" x14ac:dyDescent="0.25">
      <c r="C896" s="53"/>
      <c r="D896" s="41"/>
      <c r="E896" s="41"/>
    </row>
    <row r="897" spans="3:5" x14ac:dyDescent="0.25">
      <c r="C897" s="53"/>
      <c r="D897" s="41"/>
      <c r="E897" s="41"/>
    </row>
    <row r="898" spans="3:5" x14ac:dyDescent="0.25">
      <c r="C898" s="53"/>
      <c r="D898" s="41"/>
      <c r="E898" s="41"/>
    </row>
    <row r="899" spans="3:5" x14ac:dyDescent="0.25">
      <c r="C899" s="53"/>
      <c r="D899" s="41"/>
      <c r="E899" s="41"/>
    </row>
    <row r="900" spans="3:5" x14ac:dyDescent="0.25">
      <c r="C900" s="53"/>
      <c r="D900" s="41"/>
      <c r="E900" s="41"/>
    </row>
    <row r="901" spans="3:5" x14ac:dyDescent="0.25">
      <c r="C901" s="53"/>
      <c r="D901" s="41"/>
      <c r="E901" s="41"/>
    </row>
    <row r="902" spans="3:5" x14ac:dyDescent="0.25">
      <c r="C902" s="53"/>
      <c r="D902" s="41"/>
      <c r="E902" s="41"/>
    </row>
    <row r="903" spans="3:5" x14ac:dyDescent="0.25">
      <c r="C903" s="53"/>
      <c r="D903" s="41"/>
      <c r="E903" s="41"/>
    </row>
    <row r="904" spans="3:5" x14ac:dyDescent="0.25">
      <c r="C904" s="53"/>
      <c r="D904" s="41"/>
      <c r="E904" s="41"/>
    </row>
    <row r="905" spans="3:5" x14ac:dyDescent="0.25">
      <c r="C905" s="53"/>
      <c r="D905" s="41"/>
      <c r="E905" s="41"/>
    </row>
    <row r="906" spans="3:5" x14ac:dyDescent="0.25">
      <c r="C906" s="53"/>
      <c r="D906" s="41"/>
      <c r="E906" s="41"/>
    </row>
    <row r="907" spans="3:5" x14ac:dyDescent="0.25">
      <c r="C907" s="53"/>
      <c r="D907" s="41"/>
      <c r="E907" s="41"/>
    </row>
    <row r="908" spans="3:5" x14ac:dyDescent="0.25">
      <c r="C908" s="53"/>
      <c r="D908" s="41"/>
      <c r="E908" s="41"/>
    </row>
    <row r="909" spans="3:5" x14ac:dyDescent="0.25">
      <c r="C909" s="53"/>
      <c r="D909" s="41"/>
      <c r="E909" s="41"/>
    </row>
    <row r="910" spans="3:5" x14ac:dyDescent="0.25">
      <c r="C910" s="53"/>
      <c r="D910" s="41"/>
      <c r="E910" s="41"/>
    </row>
    <row r="911" spans="3:5" x14ac:dyDescent="0.25">
      <c r="C911" s="53"/>
      <c r="D911" s="41"/>
      <c r="E911" s="41"/>
    </row>
    <row r="912" spans="3:5" x14ac:dyDescent="0.25">
      <c r="C912" s="53"/>
      <c r="D912" s="41"/>
      <c r="E912" s="41"/>
    </row>
    <row r="913" spans="3:5" x14ac:dyDescent="0.25">
      <c r="C913" s="53"/>
      <c r="D913" s="41"/>
      <c r="E913" s="41"/>
    </row>
    <row r="914" spans="3:5" x14ac:dyDescent="0.25">
      <c r="C914" s="53"/>
      <c r="D914" s="41"/>
      <c r="E914" s="41"/>
    </row>
    <row r="915" spans="3:5" x14ac:dyDescent="0.25">
      <c r="C915" s="53"/>
      <c r="D915" s="41"/>
      <c r="E915" s="41"/>
    </row>
    <row r="916" spans="3:5" x14ac:dyDescent="0.25">
      <c r="C916" s="53"/>
      <c r="D916" s="41"/>
      <c r="E916" s="41"/>
    </row>
    <row r="917" spans="3:5" x14ac:dyDescent="0.25">
      <c r="C917" s="53"/>
      <c r="D917" s="41"/>
      <c r="E917" s="41"/>
    </row>
    <row r="918" spans="3:5" x14ac:dyDescent="0.25">
      <c r="C918" s="53"/>
      <c r="D918" s="41"/>
      <c r="E918" s="41"/>
    </row>
    <row r="919" spans="3:5" x14ac:dyDescent="0.25">
      <c r="C919" s="53"/>
      <c r="D919" s="41"/>
      <c r="E919" s="41"/>
    </row>
    <row r="920" spans="3:5" x14ac:dyDescent="0.25">
      <c r="C920" s="53"/>
      <c r="D920" s="41"/>
      <c r="E920" s="41"/>
    </row>
    <row r="921" spans="3:5" x14ac:dyDescent="0.25">
      <c r="C921" s="53"/>
      <c r="D921" s="41"/>
      <c r="E921" s="41"/>
    </row>
    <row r="922" spans="3:5" x14ac:dyDescent="0.25">
      <c r="C922" s="53"/>
      <c r="D922" s="41"/>
      <c r="E922" s="41"/>
    </row>
    <row r="923" spans="3:5" x14ac:dyDescent="0.25">
      <c r="C923" s="53"/>
      <c r="D923" s="41"/>
      <c r="E923" s="41"/>
    </row>
    <row r="924" spans="3:5" x14ac:dyDescent="0.25">
      <c r="C924" s="53"/>
      <c r="D924" s="41"/>
      <c r="E924" s="41"/>
    </row>
    <row r="925" spans="3:5" x14ac:dyDescent="0.25">
      <c r="C925" s="53"/>
      <c r="D925" s="41"/>
      <c r="E925" s="41"/>
    </row>
    <row r="926" spans="3:5" x14ac:dyDescent="0.25">
      <c r="C926" s="53"/>
      <c r="D926" s="41"/>
      <c r="E926" s="41"/>
    </row>
    <row r="927" spans="3:5" x14ac:dyDescent="0.25">
      <c r="C927" s="53"/>
      <c r="D927" s="41"/>
      <c r="E927" s="41"/>
    </row>
    <row r="928" spans="3:5" x14ac:dyDescent="0.25">
      <c r="C928" s="53"/>
      <c r="D928" s="41"/>
      <c r="E928" s="41"/>
    </row>
    <row r="929" spans="3:5" x14ac:dyDescent="0.25">
      <c r="C929" s="53"/>
      <c r="D929" s="41"/>
      <c r="E929" s="41"/>
    </row>
    <row r="930" spans="3:5" x14ac:dyDescent="0.25">
      <c r="C930" s="53"/>
      <c r="D930" s="41"/>
      <c r="E930" s="41"/>
    </row>
    <row r="931" spans="3:5" x14ac:dyDescent="0.25">
      <c r="C931" s="53"/>
      <c r="D931" s="41"/>
      <c r="E931" s="41"/>
    </row>
    <row r="932" spans="3:5" x14ac:dyDescent="0.25">
      <c r="C932" s="53"/>
      <c r="D932" s="41"/>
      <c r="E932" s="41"/>
    </row>
    <row r="933" spans="3:5" x14ac:dyDescent="0.25">
      <c r="C933" s="53"/>
      <c r="D933" s="41"/>
      <c r="E933" s="41"/>
    </row>
    <row r="934" spans="3:5" x14ac:dyDescent="0.25">
      <c r="C934" s="53"/>
      <c r="D934" s="41"/>
      <c r="E934" s="41"/>
    </row>
    <row r="935" spans="3:5" x14ac:dyDescent="0.25">
      <c r="C935" s="53"/>
      <c r="D935" s="41"/>
      <c r="E935" s="41"/>
    </row>
    <row r="936" spans="3:5" x14ac:dyDescent="0.25">
      <c r="C936" s="53"/>
      <c r="D936" s="41"/>
      <c r="E936" s="41"/>
    </row>
    <row r="937" spans="3:5" x14ac:dyDescent="0.25">
      <c r="C937" s="53"/>
      <c r="D937" s="41"/>
      <c r="E937" s="41"/>
    </row>
    <row r="938" spans="3:5" x14ac:dyDescent="0.25">
      <c r="C938" s="53"/>
      <c r="D938" s="41"/>
      <c r="E938" s="41"/>
    </row>
    <row r="939" spans="3:5" x14ac:dyDescent="0.25">
      <c r="C939" s="53"/>
      <c r="D939" s="41"/>
      <c r="E939" s="41"/>
    </row>
    <row r="940" spans="3:5" x14ac:dyDescent="0.25">
      <c r="C940" s="53"/>
      <c r="D940" s="41"/>
      <c r="E940" s="41"/>
    </row>
    <row r="941" spans="3:5" x14ac:dyDescent="0.25">
      <c r="C941" s="53"/>
      <c r="D941" s="41"/>
      <c r="E941" s="41"/>
    </row>
    <row r="942" spans="3:5" x14ac:dyDescent="0.25">
      <c r="C942" s="53"/>
      <c r="D942" s="41"/>
      <c r="E942" s="41"/>
    </row>
    <row r="943" spans="3:5" x14ac:dyDescent="0.25">
      <c r="C943" s="53"/>
      <c r="D943" s="41"/>
      <c r="E943" s="41"/>
    </row>
    <row r="944" spans="3:5" x14ac:dyDescent="0.25">
      <c r="C944" s="53"/>
      <c r="D944" s="41"/>
      <c r="E944" s="41"/>
    </row>
    <row r="945" spans="3:5" x14ac:dyDescent="0.25">
      <c r="C945" s="53"/>
      <c r="D945" s="41"/>
      <c r="E945" s="41"/>
    </row>
    <row r="946" spans="3:5" x14ac:dyDescent="0.25">
      <c r="C946" s="53"/>
      <c r="D946" s="41"/>
      <c r="E946" s="41"/>
    </row>
    <row r="947" spans="3:5" x14ac:dyDescent="0.25">
      <c r="C947" s="53"/>
      <c r="D947" s="41"/>
      <c r="E947" s="41"/>
    </row>
    <row r="948" spans="3:5" x14ac:dyDescent="0.25">
      <c r="C948" s="53"/>
      <c r="D948" s="41"/>
      <c r="E948" s="41"/>
    </row>
    <row r="949" spans="3:5" x14ac:dyDescent="0.25">
      <c r="C949" s="53"/>
      <c r="D949" s="41"/>
      <c r="E949" s="41"/>
    </row>
    <row r="950" spans="3:5" x14ac:dyDescent="0.25">
      <c r="C950" s="53"/>
      <c r="D950" s="41"/>
      <c r="E950" s="41"/>
    </row>
    <row r="951" spans="3:5" x14ac:dyDescent="0.25">
      <c r="C951" s="53"/>
      <c r="D951" s="41"/>
      <c r="E951" s="41"/>
    </row>
    <row r="952" spans="3:5" x14ac:dyDescent="0.25">
      <c r="C952" s="53"/>
      <c r="D952" s="41"/>
      <c r="E952" s="41"/>
    </row>
    <row r="953" spans="3:5" x14ac:dyDescent="0.25">
      <c r="C953" s="53"/>
      <c r="D953" s="41"/>
      <c r="E953" s="41"/>
    </row>
    <row r="954" spans="3:5" x14ac:dyDescent="0.25">
      <c r="C954" s="53"/>
      <c r="D954" s="41"/>
      <c r="E954" s="41"/>
    </row>
    <row r="955" spans="3:5" x14ac:dyDescent="0.25">
      <c r="C955" s="53"/>
      <c r="D955" s="41"/>
      <c r="E955" s="41"/>
    </row>
    <row r="956" spans="3:5" x14ac:dyDescent="0.25">
      <c r="C956" s="53"/>
      <c r="D956" s="41"/>
      <c r="E956" s="41"/>
    </row>
    <row r="957" spans="3:5" x14ac:dyDescent="0.25">
      <c r="C957" s="53"/>
      <c r="D957" s="41"/>
      <c r="E957" s="41"/>
    </row>
    <row r="958" spans="3:5" x14ac:dyDescent="0.25">
      <c r="C958" s="53"/>
      <c r="D958" s="41"/>
      <c r="E958" s="41"/>
    </row>
    <row r="959" spans="3:5" x14ac:dyDescent="0.25">
      <c r="C959" s="53"/>
      <c r="D959" s="41"/>
      <c r="E959" s="41"/>
    </row>
    <row r="960" spans="3:5" x14ac:dyDescent="0.25">
      <c r="C960" s="53"/>
      <c r="D960" s="41"/>
      <c r="E960" s="41"/>
    </row>
    <row r="961" spans="3:5" x14ac:dyDescent="0.25">
      <c r="C961" s="53"/>
      <c r="D961" s="41"/>
      <c r="E961" s="41"/>
    </row>
    <row r="962" spans="3:5" x14ac:dyDescent="0.25">
      <c r="C962" s="53"/>
      <c r="D962" s="41"/>
      <c r="E962" s="41"/>
    </row>
    <row r="963" spans="3:5" x14ac:dyDescent="0.25">
      <c r="C963" s="53"/>
      <c r="D963" s="41"/>
      <c r="E963" s="41"/>
    </row>
    <row r="964" spans="3:5" x14ac:dyDescent="0.25">
      <c r="C964" s="53"/>
      <c r="D964" s="41"/>
      <c r="E964" s="41"/>
    </row>
    <row r="965" spans="3:5" x14ac:dyDescent="0.25">
      <c r="C965" s="53"/>
      <c r="D965" s="41"/>
      <c r="E965" s="41"/>
    </row>
    <row r="966" spans="3:5" x14ac:dyDescent="0.25">
      <c r="C966" s="53"/>
      <c r="D966" s="41"/>
      <c r="E966" s="41"/>
    </row>
    <row r="967" spans="3:5" x14ac:dyDescent="0.25">
      <c r="C967" s="53"/>
      <c r="D967" s="41"/>
      <c r="E967" s="41"/>
    </row>
    <row r="968" spans="3:5" x14ac:dyDescent="0.25">
      <c r="C968" s="53"/>
      <c r="D968" s="41"/>
      <c r="E968" s="41"/>
    </row>
    <row r="969" spans="3:5" x14ac:dyDescent="0.25">
      <c r="C969" s="53"/>
      <c r="D969" s="41"/>
      <c r="E969" s="41"/>
    </row>
    <row r="970" spans="3:5" x14ac:dyDescent="0.25">
      <c r="C970" s="53"/>
      <c r="D970" s="41"/>
      <c r="E970" s="41"/>
    </row>
    <row r="971" spans="3:5" x14ac:dyDescent="0.25">
      <c r="C971" s="53"/>
      <c r="D971" s="41"/>
      <c r="E971" s="41"/>
    </row>
    <row r="972" spans="3:5" x14ac:dyDescent="0.25">
      <c r="C972" s="53"/>
      <c r="D972" s="41"/>
      <c r="E972" s="41"/>
    </row>
    <row r="973" spans="3:5" x14ac:dyDescent="0.25">
      <c r="C973" s="53"/>
      <c r="D973" s="41"/>
      <c r="E973" s="41"/>
    </row>
    <row r="974" spans="3:5" x14ac:dyDescent="0.25">
      <c r="C974" s="53"/>
      <c r="D974" s="41"/>
      <c r="E974" s="41"/>
    </row>
    <row r="975" spans="3:5" x14ac:dyDescent="0.25">
      <c r="C975" s="53"/>
      <c r="D975" s="41"/>
      <c r="E975" s="41"/>
    </row>
    <row r="976" spans="3:5" x14ac:dyDescent="0.25">
      <c r="C976" s="53"/>
      <c r="D976" s="41"/>
      <c r="E976" s="41"/>
    </row>
    <row r="977" spans="3:5" x14ac:dyDescent="0.25">
      <c r="C977" s="53"/>
      <c r="D977" s="41"/>
      <c r="E977" s="41"/>
    </row>
    <row r="978" spans="3:5" x14ac:dyDescent="0.25">
      <c r="C978" s="53"/>
      <c r="D978" s="41"/>
      <c r="E978" s="41"/>
    </row>
    <row r="979" spans="3:5" x14ac:dyDescent="0.25">
      <c r="C979" s="53"/>
      <c r="D979" s="41"/>
      <c r="E979" s="41"/>
    </row>
    <row r="980" spans="3:5" x14ac:dyDescent="0.25">
      <c r="C980" s="53"/>
      <c r="D980" s="41"/>
      <c r="E980" s="41"/>
    </row>
    <row r="981" spans="3:5" x14ac:dyDescent="0.25">
      <c r="C981" s="53"/>
      <c r="D981" s="41"/>
      <c r="E981" s="41"/>
    </row>
    <row r="982" spans="3:5" x14ac:dyDescent="0.25">
      <c r="C982" s="53"/>
      <c r="D982" s="41"/>
      <c r="E982" s="41"/>
    </row>
    <row r="983" spans="3:5" x14ac:dyDescent="0.25">
      <c r="C983" s="53"/>
      <c r="D983" s="41"/>
      <c r="E983" s="41"/>
    </row>
    <row r="984" spans="3:5" x14ac:dyDescent="0.25">
      <c r="C984" s="53"/>
      <c r="D984" s="41"/>
      <c r="E984" s="41"/>
    </row>
    <row r="985" spans="3:5" x14ac:dyDescent="0.25">
      <c r="C985" s="53"/>
      <c r="D985" s="41"/>
      <c r="E985" s="41"/>
    </row>
    <row r="986" spans="3:5" x14ac:dyDescent="0.25">
      <c r="C986" s="53"/>
      <c r="D986" s="41"/>
      <c r="E986" s="41"/>
    </row>
    <row r="987" spans="3:5" x14ac:dyDescent="0.25">
      <c r="C987" s="53"/>
      <c r="D987" s="41"/>
      <c r="E987" s="41"/>
    </row>
    <row r="988" spans="3:5" x14ac:dyDescent="0.25">
      <c r="C988" s="53"/>
      <c r="D988" s="41"/>
      <c r="E988" s="41"/>
    </row>
    <row r="989" spans="3:5" x14ac:dyDescent="0.25">
      <c r="C989" s="53"/>
      <c r="D989" s="41"/>
      <c r="E989" s="41"/>
    </row>
    <row r="990" spans="3:5" x14ac:dyDescent="0.25">
      <c r="C990" s="53"/>
      <c r="D990" s="41"/>
      <c r="E990" s="41"/>
    </row>
    <row r="991" spans="3:5" x14ac:dyDescent="0.25">
      <c r="C991" s="53"/>
      <c r="D991" s="41"/>
      <c r="E991" s="41"/>
    </row>
    <row r="992" spans="3:5" x14ac:dyDescent="0.25">
      <c r="C992" s="53"/>
      <c r="D992" s="41"/>
      <c r="E992" s="41"/>
    </row>
    <row r="993" spans="3:5" x14ac:dyDescent="0.25">
      <c r="C993" s="53"/>
      <c r="D993" s="41"/>
      <c r="E993" s="41"/>
    </row>
    <row r="994" spans="3:5" x14ac:dyDescent="0.25">
      <c r="C994" s="53"/>
      <c r="D994" s="41"/>
      <c r="E994" s="41"/>
    </row>
    <row r="995" spans="3:5" x14ac:dyDescent="0.25">
      <c r="C995" s="53"/>
      <c r="D995" s="41"/>
      <c r="E995" s="41"/>
    </row>
    <row r="996" spans="3:5" x14ac:dyDescent="0.25">
      <c r="C996" s="53"/>
      <c r="D996" s="41"/>
      <c r="E996" s="41"/>
    </row>
    <row r="997" spans="3:5" x14ac:dyDescent="0.25">
      <c r="C997" s="53"/>
      <c r="D997" s="41"/>
      <c r="E997" s="41"/>
    </row>
    <row r="998" spans="3:5" x14ac:dyDescent="0.25">
      <c r="C998" s="53"/>
      <c r="D998" s="41"/>
      <c r="E998" s="41"/>
    </row>
    <row r="999" spans="3:5" x14ac:dyDescent="0.25">
      <c r="C999" s="53"/>
      <c r="D999" s="41"/>
      <c r="E999" s="41"/>
    </row>
    <row r="1000" spans="3:5" x14ac:dyDescent="0.25">
      <c r="C1000" s="53"/>
      <c r="D1000" s="41"/>
      <c r="E1000" s="41"/>
    </row>
    <row r="1001" spans="3:5" x14ac:dyDescent="0.25">
      <c r="C1001" s="53"/>
      <c r="D1001" s="41"/>
      <c r="E1001" s="41"/>
    </row>
    <row r="1002" spans="3:5" x14ac:dyDescent="0.25">
      <c r="C1002" s="53"/>
      <c r="D1002" s="41"/>
      <c r="E1002" s="41"/>
    </row>
    <row r="1003" spans="3:5" x14ac:dyDescent="0.25">
      <c r="C1003" s="53"/>
      <c r="D1003" s="41"/>
      <c r="E1003" s="41"/>
    </row>
    <row r="1004" spans="3:5" x14ac:dyDescent="0.25">
      <c r="C1004" s="53"/>
      <c r="D1004" s="41"/>
      <c r="E1004" s="41"/>
    </row>
    <row r="1005" spans="3:5" x14ac:dyDescent="0.25">
      <c r="C1005" s="53"/>
      <c r="D1005" s="41"/>
      <c r="E1005" s="41"/>
    </row>
    <row r="1006" spans="3:5" x14ac:dyDescent="0.25">
      <c r="C1006" s="53"/>
      <c r="D1006" s="41"/>
      <c r="E1006" s="41"/>
    </row>
    <row r="1007" spans="3:5" x14ac:dyDescent="0.25">
      <c r="C1007" s="53"/>
      <c r="D1007" s="41"/>
      <c r="E1007" s="41"/>
    </row>
    <row r="1008" spans="3:5" x14ac:dyDescent="0.25">
      <c r="C1008" s="53"/>
      <c r="D1008" s="41"/>
      <c r="E1008" s="41"/>
    </row>
    <row r="1009" spans="3:5" x14ac:dyDescent="0.25">
      <c r="C1009" s="53"/>
      <c r="D1009" s="41"/>
      <c r="E1009" s="41"/>
    </row>
    <row r="1010" spans="3:5" x14ac:dyDescent="0.25">
      <c r="C1010" s="53"/>
      <c r="D1010" s="41"/>
      <c r="E1010" s="41"/>
    </row>
    <row r="1011" spans="3:5" x14ac:dyDescent="0.25">
      <c r="C1011" s="53"/>
      <c r="D1011" s="41"/>
      <c r="E1011" s="41"/>
    </row>
    <row r="1012" spans="3:5" x14ac:dyDescent="0.25">
      <c r="C1012" s="53"/>
      <c r="D1012" s="41"/>
      <c r="E1012" s="41"/>
    </row>
    <row r="1013" spans="3:5" x14ac:dyDescent="0.25">
      <c r="C1013" s="53"/>
      <c r="D1013" s="41"/>
      <c r="E1013" s="41"/>
    </row>
    <row r="1014" spans="3:5" x14ac:dyDescent="0.25">
      <c r="C1014" s="53"/>
      <c r="D1014" s="41"/>
      <c r="E1014" s="41"/>
    </row>
    <row r="1015" spans="3:5" x14ac:dyDescent="0.25">
      <c r="C1015" s="53"/>
      <c r="D1015" s="41"/>
      <c r="E1015" s="41"/>
    </row>
    <row r="1016" spans="3:5" x14ac:dyDescent="0.25">
      <c r="C1016" s="53"/>
      <c r="D1016" s="41"/>
      <c r="E1016" s="41"/>
    </row>
    <row r="1017" spans="3:5" x14ac:dyDescent="0.25">
      <c r="C1017" s="53"/>
      <c r="D1017" s="41"/>
      <c r="E1017" s="41"/>
    </row>
    <row r="1018" spans="3:5" x14ac:dyDescent="0.25">
      <c r="C1018" s="53"/>
      <c r="D1018" s="41"/>
      <c r="E1018" s="41"/>
    </row>
    <row r="1019" spans="3:5" x14ac:dyDescent="0.25">
      <c r="C1019" s="53"/>
      <c r="D1019" s="41"/>
      <c r="E1019" s="41"/>
    </row>
    <row r="1020" spans="3:5" x14ac:dyDescent="0.25">
      <c r="C1020" s="53"/>
      <c r="D1020" s="41"/>
      <c r="E1020" s="41"/>
    </row>
    <row r="1021" spans="3:5" x14ac:dyDescent="0.25">
      <c r="C1021" s="53"/>
      <c r="D1021" s="41"/>
      <c r="E1021" s="41"/>
    </row>
    <row r="1022" spans="3:5" x14ac:dyDescent="0.25">
      <c r="C1022" s="53"/>
      <c r="D1022" s="41"/>
      <c r="E1022" s="41"/>
    </row>
    <row r="1023" spans="3:5" x14ac:dyDescent="0.25">
      <c r="C1023" s="53"/>
      <c r="D1023" s="41"/>
      <c r="E1023" s="41"/>
    </row>
    <row r="1024" spans="3:5" x14ac:dyDescent="0.25">
      <c r="C1024" s="53"/>
      <c r="D1024" s="41"/>
      <c r="E1024" s="41"/>
    </row>
    <row r="1025" spans="3:5" x14ac:dyDescent="0.25">
      <c r="C1025" s="53"/>
      <c r="D1025" s="41"/>
      <c r="E1025" s="41"/>
    </row>
    <row r="1026" spans="3:5" x14ac:dyDescent="0.25">
      <c r="C1026" s="53"/>
      <c r="D1026" s="41"/>
      <c r="E1026" s="41"/>
    </row>
    <row r="1027" spans="3:5" x14ac:dyDescent="0.25">
      <c r="C1027" s="53"/>
      <c r="D1027" s="41"/>
      <c r="E1027" s="41"/>
    </row>
    <row r="1028" spans="3:5" x14ac:dyDescent="0.25">
      <c r="C1028" s="53"/>
      <c r="D1028" s="41"/>
      <c r="E1028" s="41"/>
    </row>
    <row r="1029" spans="3:5" x14ac:dyDescent="0.25">
      <c r="C1029" s="53"/>
      <c r="D1029" s="41"/>
      <c r="E1029" s="41"/>
    </row>
    <row r="1030" spans="3:5" x14ac:dyDescent="0.25">
      <c r="C1030" s="53"/>
      <c r="D1030" s="41"/>
      <c r="E1030" s="41"/>
    </row>
    <row r="1031" spans="3:5" x14ac:dyDescent="0.25">
      <c r="C1031" s="53"/>
      <c r="D1031" s="41"/>
      <c r="E1031" s="41"/>
    </row>
    <row r="1032" spans="3:5" x14ac:dyDescent="0.25">
      <c r="C1032" s="53"/>
      <c r="D1032" s="41"/>
      <c r="E1032" s="41"/>
    </row>
    <row r="1033" spans="3:5" x14ac:dyDescent="0.25">
      <c r="C1033" s="53"/>
      <c r="D1033" s="41"/>
      <c r="E1033" s="41"/>
    </row>
    <row r="1034" spans="3:5" x14ac:dyDescent="0.25">
      <c r="C1034" s="53"/>
      <c r="D1034" s="41"/>
      <c r="E1034" s="41"/>
    </row>
    <row r="1035" spans="3:5" x14ac:dyDescent="0.25">
      <c r="C1035" s="53"/>
      <c r="D1035" s="41"/>
      <c r="E1035" s="41"/>
    </row>
    <row r="1036" spans="3:5" x14ac:dyDescent="0.25">
      <c r="C1036" s="53"/>
      <c r="D1036" s="41"/>
      <c r="E1036" s="41"/>
    </row>
    <row r="1037" spans="3:5" x14ac:dyDescent="0.25">
      <c r="C1037" s="53"/>
      <c r="D1037" s="41"/>
      <c r="E1037" s="41"/>
    </row>
    <row r="1038" spans="3:5" x14ac:dyDescent="0.25">
      <c r="C1038" s="53"/>
      <c r="D1038" s="41"/>
      <c r="E1038" s="41"/>
    </row>
    <row r="1039" spans="3:5" x14ac:dyDescent="0.25">
      <c r="C1039" s="53"/>
      <c r="D1039" s="41"/>
      <c r="E1039" s="41"/>
    </row>
    <row r="1040" spans="3:5" x14ac:dyDescent="0.25">
      <c r="C1040" s="53"/>
      <c r="D1040" s="41"/>
      <c r="E1040" s="41"/>
    </row>
    <row r="1041" spans="3:5" x14ac:dyDescent="0.25">
      <c r="C1041" s="53"/>
      <c r="D1041" s="41"/>
      <c r="E1041" s="41"/>
    </row>
    <row r="1042" spans="3:5" x14ac:dyDescent="0.25">
      <c r="C1042" s="53"/>
      <c r="D1042" s="41"/>
      <c r="E1042" s="41"/>
    </row>
    <row r="1043" spans="3:5" x14ac:dyDescent="0.25">
      <c r="C1043" s="53"/>
      <c r="D1043" s="41"/>
      <c r="E1043" s="41"/>
    </row>
    <row r="1044" spans="3:5" x14ac:dyDescent="0.25">
      <c r="C1044" s="53"/>
      <c r="D1044" s="41"/>
      <c r="E1044" s="41"/>
    </row>
    <row r="1045" spans="3:5" x14ac:dyDescent="0.25">
      <c r="C1045" s="53"/>
      <c r="D1045" s="41"/>
      <c r="E1045" s="41"/>
    </row>
    <row r="1046" spans="3:5" x14ac:dyDescent="0.25">
      <c r="C1046" s="53"/>
      <c r="D1046" s="41"/>
      <c r="E1046" s="41"/>
    </row>
    <row r="1047" spans="3:5" x14ac:dyDescent="0.25">
      <c r="C1047" s="53"/>
      <c r="D1047" s="41"/>
      <c r="E1047" s="41"/>
    </row>
    <row r="1048" spans="3:5" x14ac:dyDescent="0.25">
      <c r="C1048" s="53"/>
      <c r="D1048" s="41"/>
      <c r="E1048" s="41"/>
    </row>
    <row r="1049" spans="3:5" x14ac:dyDescent="0.25">
      <c r="C1049" s="53"/>
      <c r="D1049" s="41"/>
      <c r="E1049" s="41"/>
    </row>
    <row r="1050" spans="3:5" x14ac:dyDescent="0.25">
      <c r="C1050" s="53"/>
      <c r="D1050" s="41"/>
      <c r="E1050" s="41"/>
    </row>
    <row r="1051" spans="3:5" x14ac:dyDescent="0.25">
      <c r="C1051" s="53"/>
      <c r="D1051" s="41"/>
      <c r="E1051" s="41"/>
    </row>
    <row r="1052" spans="3:5" x14ac:dyDescent="0.25">
      <c r="C1052" s="53"/>
      <c r="D1052" s="41"/>
      <c r="E1052" s="41"/>
    </row>
    <row r="1053" spans="3:5" x14ac:dyDescent="0.25">
      <c r="C1053" s="53"/>
      <c r="D1053" s="41"/>
      <c r="E1053" s="41"/>
    </row>
    <row r="1054" spans="3:5" x14ac:dyDescent="0.25">
      <c r="C1054" s="53"/>
      <c r="D1054" s="41"/>
      <c r="E1054" s="41"/>
    </row>
    <row r="1055" spans="3:5" x14ac:dyDescent="0.25">
      <c r="C1055" s="53"/>
      <c r="D1055" s="41"/>
      <c r="E1055" s="41"/>
    </row>
    <row r="1056" spans="3:5" x14ac:dyDescent="0.25">
      <c r="C1056" s="53"/>
      <c r="D1056" s="41"/>
      <c r="E1056" s="41"/>
    </row>
    <row r="1057" spans="3:5" x14ac:dyDescent="0.25">
      <c r="C1057" s="53"/>
      <c r="D1057" s="41"/>
      <c r="E1057" s="41"/>
    </row>
    <row r="1058" spans="3:5" x14ac:dyDescent="0.25">
      <c r="C1058" s="53"/>
      <c r="D1058" s="41"/>
      <c r="E1058" s="41"/>
    </row>
    <row r="1059" spans="3:5" x14ac:dyDescent="0.25">
      <c r="C1059" s="53"/>
      <c r="D1059" s="41"/>
      <c r="E1059" s="41"/>
    </row>
    <row r="1060" spans="3:5" x14ac:dyDescent="0.25">
      <c r="C1060" s="53"/>
      <c r="D1060" s="41"/>
      <c r="E1060" s="41"/>
    </row>
    <row r="1061" spans="3:5" x14ac:dyDescent="0.25">
      <c r="C1061" s="53"/>
      <c r="D1061" s="41"/>
      <c r="E1061" s="41"/>
    </row>
    <row r="1062" spans="3:5" x14ac:dyDescent="0.25">
      <c r="C1062" s="53"/>
      <c r="D1062" s="41"/>
      <c r="E1062" s="41"/>
    </row>
    <row r="1063" spans="3:5" x14ac:dyDescent="0.25">
      <c r="C1063" s="53"/>
      <c r="D1063" s="41"/>
      <c r="E1063" s="41"/>
    </row>
    <row r="1064" spans="3:5" x14ac:dyDescent="0.25">
      <c r="C1064" s="53"/>
      <c r="D1064" s="41"/>
      <c r="E1064" s="41"/>
    </row>
    <row r="1065" spans="3:5" x14ac:dyDescent="0.25">
      <c r="C1065" s="53"/>
      <c r="D1065" s="41"/>
      <c r="E1065" s="41"/>
    </row>
    <row r="1066" spans="3:5" x14ac:dyDescent="0.25">
      <c r="C1066" s="53"/>
      <c r="D1066" s="41"/>
      <c r="E1066" s="41"/>
    </row>
    <row r="1067" spans="3:5" x14ac:dyDescent="0.25">
      <c r="C1067" s="53"/>
      <c r="D1067" s="41"/>
      <c r="E1067" s="41"/>
    </row>
    <row r="1068" spans="3:5" x14ac:dyDescent="0.25">
      <c r="C1068" s="53"/>
      <c r="D1068" s="41"/>
      <c r="E1068" s="41"/>
    </row>
    <row r="1069" spans="3:5" x14ac:dyDescent="0.25">
      <c r="C1069" s="53"/>
      <c r="D1069" s="41"/>
      <c r="E1069" s="41"/>
    </row>
    <row r="1070" spans="3:5" x14ac:dyDescent="0.25">
      <c r="C1070" s="53"/>
      <c r="D1070" s="41"/>
      <c r="E1070" s="41"/>
    </row>
    <row r="1071" spans="3:5" x14ac:dyDescent="0.25">
      <c r="C1071" s="53"/>
      <c r="D1071" s="41"/>
      <c r="E1071" s="41"/>
    </row>
    <row r="1072" spans="3:5" x14ac:dyDescent="0.25">
      <c r="C1072" s="53"/>
      <c r="D1072" s="41"/>
      <c r="E1072" s="41"/>
    </row>
    <row r="1073" spans="3:5" x14ac:dyDescent="0.25">
      <c r="C1073" s="53"/>
      <c r="D1073" s="41"/>
      <c r="E1073" s="41"/>
    </row>
    <row r="1074" spans="3:5" x14ac:dyDescent="0.25">
      <c r="C1074" s="53"/>
      <c r="D1074" s="41"/>
      <c r="E1074" s="41"/>
    </row>
    <row r="1075" spans="3:5" x14ac:dyDescent="0.25">
      <c r="C1075" s="53"/>
      <c r="D1075" s="41"/>
      <c r="E1075" s="41"/>
    </row>
    <row r="1076" spans="3:5" x14ac:dyDescent="0.25">
      <c r="C1076" s="53"/>
      <c r="D1076" s="41"/>
      <c r="E1076" s="41"/>
    </row>
    <row r="1077" spans="3:5" x14ac:dyDescent="0.25">
      <c r="C1077" s="53"/>
      <c r="D1077" s="41"/>
      <c r="E1077" s="41"/>
    </row>
    <row r="1078" spans="3:5" x14ac:dyDescent="0.25">
      <c r="C1078" s="53"/>
      <c r="D1078" s="41"/>
      <c r="E1078" s="41"/>
    </row>
    <row r="1079" spans="3:5" x14ac:dyDescent="0.25">
      <c r="C1079" s="53"/>
      <c r="D1079" s="41"/>
      <c r="E1079" s="41"/>
    </row>
    <row r="1080" spans="3:5" x14ac:dyDescent="0.25">
      <c r="C1080" s="53"/>
      <c r="D1080" s="41"/>
      <c r="E1080" s="41"/>
    </row>
    <row r="1081" spans="3:5" x14ac:dyDescent="0.25">
      <c r="C1081" s="53"/>
      <c r="D1081" s="41"/>
      <c r="E1081" s="41"/>
    </row>
    <row r="1082" spans="3:5" x14ac:dyDescent="0.25">
      <c r="C1082" s="53"/>
      <c r="D1082" s="41"/>
      <c r="E1082" s="41"/>
    </row>
    <row r="1083" spans="3:5" x14ac:dyDescent="0.25">
      <c r="C1083" s="53"/>
      <c r="D1083" s="41"/>
      <c r="E1083" s="41"/>
    </row>
    <row r="1084" spans="3:5" x14ac:dyDescent="0.25">
      <c r="C1084" s="53"/>
      <c r="D1084" s="41"/>
      <c r="E1084" s="41"/>
    </row>
    <row r="1085" spans="3:5" x14ac:dyDescent="0.25">
      <c r="C1085" s="53"/>
      <c r="D1085" s="41"/>
      <c r="E1085" s="41"/>
    </row>
    <row r="1086" spans="3:5" x14ac:dyDescent="0.25">
      <c r="C1086" s="53"/>
      <c r="D1086" s="41"/>
      <c r="E1086" s="41"/>
    </row>
    <row r="1087" spans="3:5" x14ac:dyDescent="0.25">
      <c r="C1087" s="53"/>
      <c r="D1087" s="41"/>
      <c r="E1087" s="41"/>
    </row>
    <row r="1088" spans="3:5" x14ac:dyDescent="0.25">
      <c r="C1088" s="53"/>
      <c r="D1088" s="41"/>
      <c r="E1088" s="41"/>
    </row>
    <row r="1089" spans="3:5" x14ac:dyDescent="0.25">
      <c r="C1089" s="53"/>
      <c r="D1089" s="41"/>
      <c r="E1089" s="41"/>
    </row>
    <row r="1090" spans="3:5" x14ac:dyDescent="0.25">
      <c r="C1090" s="53"/>
      <c r="D1090" s="41"/>
      <c r="E1090" s="41"/>
    </row>
    <row r="1091" spans="3:5" x14ac:dyDescent="0.25">
      <c r="C1091" s="53"/>
      <c r="D1091" s="41"/>
      <c r="E1091" s="41"/>
    </row>
    <row r="1092" spans="3:5" x14ac:dyDescent="0.25">
      <c r="C1092" s="53"/>
      <c r="D1092" s="41"/>
      <c r="E1092" s="41"/>
    </row>
    <row r="1093" spans="3:5" x14ac:dyDescent="0.25">
      <c r="C1093" s="53"/>
      <c r="D1093" s="41"/>
      <c r="E1093" s="41"/>
    </row>
    <row r="1094" spans="3:5" x14ac:dyDescent="0.25">
      <c r="C1094" s="53"/>
      <c r="D1094" s="41"/>
      <c r="E1094" s="41"/>
    </row>
    <row r="1095" spans="3:5" x14ac:dyDescent="0.25">
      <c r="C1095" s="53"/>
      <c r="D1095" s="41"/>
      <c r="E1095" s="41"/>
    </row>
    <row r="1096" spans="3:5" x14ac:dyDescent="0.25">
      <c r="C1096" s="53"/>
      <c r="D1096" s="41"/>
      <c r="E1096" s="41"/>
    </row>
    <row r="1097" spans="3:5" x14ac:dyDescent="0.25">
      <c r="C1097" s="53"/>
      <c r="D1097" s="41"/>
      <c r="E1097" s="41"/>
    </row>
    <row r="1098" spans="3:5" x14ac:dyDescent="0.25">
      <c r="C1098" s="53"/>
      <c r="D1098" s="41"/>
      <c r="E1098" s="41"/>
    </row>
    <row r="1099" spans="3:5" x14ac:dyDescent="0.25">
      <c r="C1099" s="53"/>
      <c r="D1099" s="41"/>
      <c r="E1099" s="41"/>
    </row>
    <row r="1100" spans="3:5" x14ac:dyDescent="0.25">
      <c r="C1100" s="53"/>
      <c r="D1100" s="41"/>
      <c r="E1100" s="41"/>
    </row>
    <row r="1101" spans="3:5" x14ac:dyDescent="0.25">
      <c r="C1101" s="53"/>
      <c r="D1101" s="41"/>
      <c r="E1101" s="41"/>
    </row>
    <row r="1102" spans="3:5" x14ac:dyDescent="0.25">
      <c r="C1102" s="53"/>
      <c r="D1102" s="41"/>
      <c r="E1102" s="41"/>
    </row>
    <row r="1103" spans="3:5" x14ac:dyDescent="0.25">
      <c r="C1103" s="53"/>
      <c r="D1103" s="41"/>
      <c r="E1103" s="41"/>
    </row>
    <row r="1104" spans="3:5" x14ac:dyDescent="0.25">
      <c r="C1104" s="53"/>
      <c r="D1104" s="41"/>
      <c r="E1104" s="41"/>
    </row>
    <row r="1105" spans="3:5" x14ac:dyDescent="0.25">
      <c r="C1105" s="53"/>
      <c r="D1105" s="41"/>
      <c r="E1105" s="41"/>
    </row>
    <row r="1106" spans="3:5" x14ac:dyDescent="0.25">
      <c r="C1106" s="53"/>
      <c r="D1106" s="41"/>
      <c r="E1106" s="41"/>
    </row>
    <row r="1107" spans="3:5" x14ac:dyDescent="0.25">
      <c r="C1107" s="53"/>
      <c r="D1107" s="41"/>
      <c r="E1107" s="41"/>
    </row>
    <row r="1108" spans="3:5" x14ac:dyDescent="0.25">
      <c r="C1108" s="53" t="str">
        <f>+IFERROR(IF(Tabla4[[#This Row],[FECHA]]&gt;=$B$1,1,""),"")</f>
        <v/>
      </c>
      <c r="D1108" s="41"/>
      <c r="E1108" s="41"/>
    </row>
    <row r="1109" spans="3:5" x14ac:dyDescent="0.25">
      <c r="C1109" s="53" t="str">
        <f>+IFERROR(IF(Tabla4[[#This Row],[FECHA]]&gt;=$B$1,1,""),"")</f>
        <v/>
      </c>
      <c r="D1109" s="41"/>
      <c r="E1109" s="41"/>
    </row>
    <row r="1110" spans="3:5" x14ac:dyDescent="0.25">
      <c r="C1110" s="53" t="str">
        <f>+IFERROR(IF(Tabla4[[#This Row],[FECHA]]&gt;=$B$1,1,""),"")</f>
        <v/>
      </c>
      <c r="D1110" s="41"/>
      <c r="E1110" s="41"/>
    </row>
    <row r="1111" spans="3:5" x14ac:dyDescent="0.25">
      <c r="C1111" s="53" t="str">
        <f>+IFERROR(IF(Tabla4[[#This Row],[FECHA]]&gt;=$B$1,1,""),"")</f>
        <v/>
      </c>
      <c r="D1111" s="41"/>
      <c r="E1111" s="41"/>
    </row>
    <row r="1112" spans="3:5" x14ac:dyDescent="0.25">
      <c r="C1112" s="53" t="str">
        <f>+IFERROR(IF(Tabla4[[#This Row],[FECHA]]&gt;=$B$1,1,""),"")</f>
        <v/>
      </c>
      <c r="D1112" s="41"/>
      <c r="E1112" s="41"/>
    </row>
    <row r="1113" spans="3:5" x14ac:dyDescent="0.25">
      <c r="C1113" s="53" t="str">
        <f>+IFERROR(IF(Tabla4[[#This Row],[FECHA]]&gt;=$B$1,1,""),"")</f>
        <v/>
      </c>
      <c r="D1113" s="41"/>
      <c r="E1113" s="41"/>
    </row>
    <row r="1114" spans="3:5" x14ac:dyDescent="0.25">
      <c r="C1114" s="53" t="str">
        <f>+IFERROR(IF(Tabla4[[#This Row],[FECHA]]&gt;=$B$1,1,""),"")</f>
        <v/>
      </c>
      <c r="D1114" s="41"/>
      <c r="E1114" s="41"/>
    </row>
    <row r="1115" spans="3:5" x14ac:dyDescent="0.25">
      <c r="C1115" s="53" t="str">
        <f>+IFERROR(IF(Tabla4[[#This Row],[FECHA]]&gt;=$B$1,1,""),"")</f>
        <v/>
      </c>
      <c r="D1115" s="41"/>
      <c r="E1115" s="41"/>
    </row>
    <row r="1116" spans="3:5" x14ac:dyDescent="0.25">
      <c r="C1116" s="53" t="str">
        <f>+IFERROR(IF(Tabla4[[#This Row],[FECHA]]&gt;=$B$1,1,""),"")</f>
        <v/>
      </c>
      <c r="D1116" s="41"/>
      <c r="E1116" s="41"/>
    </row>
    <row r="1117" spans="3:5" x14ac:dyDescent="0.25">
      <c r="C1117" s="53" t="str">
        <f>+IFERROR(IF(Tabla4[[#This Row],[FECHA]]&gt;=$B$1,1,""),"")</f>
        <v/>
      </c>
      <c r="D1117" s="41"/>
      <c r="E1117" s="41"/>
    </row>
    <row r="1118" spans="3:5" x14ac:dyDescent="0.25">
      <c r="C1118" s="53" t="str">
        <f>+IFERROR(IF(Tabla4[[#This Row],[FECHA]]&gt;=$B$1,1,""),"")</f>
        <v/>
      </c>
      <c r="D1118" s="41"/>
      <c r="E1118" s="41"/>
    </row>
    <row r="1119" spans="3:5" x14ac:dyDescent="0.25">
      <c r="C1119" s="53" t="str">
        <f>+IFERROR(IF(Tabla4[[#This Row],[FECHA]]&gt;=$B$1,1,""),"")</f>
        <v/>
      </c>
      <c r="D1119" s="41"/>
      <c r="E1119" s="41"/>
    </row>
    <row r="1120" spans="3:5" x14ac:dyDescent="0.25">
      <c r="C1120" s="53" t="str">
        <f>+IFERROR(IF(Tabla4[[#This Row],[FECHA]]&gt;=$B$1,1,""),"")</f>
        <v/>
      </c>
      <c r="D1120" s="41"/>
      <c r="E1120" s="41"/>
    </row>
    <row r="1121" spans="3:5" x14ac:dyDescent="0.25">
      <c r="C1121" s="53" t="str">
        <f>+IFERROR(IF(Tabla4[[#This Row],[FECHA]]&gt;=$B$1,1,""),"")</f>
        <v/>
      </c>
      <c r="D1121" s="41"/>
      <c r="E1121" s="41"/>
    </row>
    <row r="1122" spans="3:5" x14ac:dyDescent="0.25">
      <c r="C1122" s="53" t="str">
        <f>+IFERROR(IF(Tabla4[[#This Row],[FECHA]]&gt;=$B$1,1,""),"")</f>
        <v/>
      </c>
      <c r="D1122" s="41"/>
      <c r="E1122" s="41"/>
    </row>
    <row r="1123" spans="3:5" x14ac:dyDescent="0.25">
      <c r="C1123" s="53" t="str">
        <f>+IFERROR(IF(Tabla4[[#This Row],[FECHA]]&gt;=$B$1,1,""),"")</f>
        <v/>
      </c>
      <c r="D1123" s="41"/>
      <c r="E1123" s="41"/>
    </row>
    <row r="1124" spans="3:5" x14ac:dyDescent="0.25">
      <c r="C1124" s="53" t="str">
        <f>+IFERROR(IF(Tabla4[[#This Row],[FECHA]]&gt;=$B$1,1,""),"")</f>
        <v/>
      </c>
      <c r="D1124" s="41"/>
      <c r="E1124" s="41"/>
    </row>
    <row r="1125" spans="3:5" x14ac:dyDescent="0.25">
      <c r="C1125" s="53" t="str">
        <f>+IFERROR(IF(Tabla4[[#This Row],[FECHA]]&gt;=$B$1,1,""),"")</f>
        <v/>
      </c>
      <c r="D1125" s="41"/>
      <c r="E1125" s="41"/>
    </row>
    <row r="1126" spans="3:5" x14ac:dyDescent="0.25">
      <c r="C1126" s="53" t="str">
        <f>+IFERROR(IF(Tabla4[[#This Row],[FECHA]]&gt;=$B$1,1,""),"")</f>
        <v/>
      </c>
      <c r="D1126" s="41"/>
      <c r="E1126" s="41"/>
    </row>
    <row r="1127" spans="3:5" x14ac:dyDescent="0.25">
      <c r="C1127" s="53" t="str">
        <f>+IFERROR(IF(Tabla4[[#This Row],[FECHA]]&gt;=$B$1,1,""),"")</f>
        <v/>
      </c>
      <c r="D1127" s="41"/>
      <c r="E1127" s="41"/>
    </row>
    <row r="1128" spans="3:5" x14ac:dyDescent="0.25">
      <c r="C1128" s="53" t="str">
        <f>+IFERROR(IF(Tabla4[[#This Row],[FECHA]]&gt;=$B$1,1,""),"")</f>
        <v/>
      </c>
      <c r="D1128" s="41"/>
      <c r="E1128" s="41"/>
    </row>
    <row r="1129" spans="3:5" x14ac:dyDescent="0.25">
      <c r="C1129" s="53" t="str">
        <f>+IFERROR(IF(Tabla4[[#This Row],[FECHA]]&gt;=$B$1,1,""),"")</f>
        <v/>
      </c>
      <c r="D1129" s="41"/>
      <c r="E1129" s="41"/>
    </row>
    <row r="1130" spans="3:5" x14ac:dyDescent="0.25">
      <c r="C1130" s="53" t="str">
        <f>+IFERROR(IF(Tabla4[[#This Row],[FECHA]]&gt;=$B$1,1,""),"")</f>
        <v/>
      </c>
      <c r="D1130" s="41"/>
      <c r="E1130" s="41"/>
    </row>
    <row r="1131" spans="3:5" x14ac:dyDescent="0.25">
      <c r="C1131" s="53" t="str">
        <f>+IFERROR(IF(Tabla4[[#This Row],[FECHA]]&gt;=$B$1,1,""),"")</f>
        <v/>
      </c>
      <c r="D1131" s="41"/>
      <c r="E1131" s="41"/>
    </row>
    <row r="1132" spans="3:5" x14ac:dyDescent="0.25">
      <c r="C1132" s="53" t="str">
        <f>+IFERROR(IF(Tabla4[[#This Row],[FECHA]]&gt;=$B$1,1,""),"")</f>
        <v/>
      </c>
      <c r="D1132" s="41"/>
      <c r="E1132" s="41"/>
    </row>
    <row r="1133" spans="3:5" x14ac:dyDescent="0.25">
      <c r="C1133" s="53" t="str">
        <f>+IFERROR(IF(Tabla4[[#This Row],[FECHA]]&gt;=$B$1,1,""),"")</f>
        <v/>
      </c>
      <c r="D1133" s="41"/>
      <c r="E1133" s="41"/>
    </row>
    <row r="1134" spans="3:5" x14ac:dyDescent="0.25">
      <c r="C1134" s="53" t="str">
        <f>+IFERROR(IF(Tabla4[[#This Row],[FECHA]]&gt;=$B$1,1,""),"")</f>
        <v/>
      </c>
      <c r="D1134" s="41"/>
      <c r="E1134" s="41"/>
    </row>
    <row r="1135" spans="3:5" x14ac:dyDescent="0.25">
      <c r="C1135" s="53" t="str">
        <f>+IFERROR(IF(Tabla4[[#This Row],[FECHA]]&gt;=$B$1,1,""),"")</f>
        <v/>
      </c>
      <c r="D1135" s="41"/>
      <c r="E1135" s="41"/>
    </row>
    <row r="1136" spans="3:5" x14ac:dyDescent="0.25">
      <c r="C1136" s="53" t="str">
        <f>+IFERROR(IF(Tabla4[[#This Row],[FECHA]]&gt;=$B$1,1,""),"")</f>
        <v/>
      </c>
      <c r="D1136" s="41"/>
      <c r="E1136" s="41"/>
    </row>
    <row r="1137" spans="3:5" x14ac:dyDescent="0.25">
      <c r="C1137" s="53" t="str">
        <f>+IFERROR(IF(Tabla4[[#This Row],[FECHA]]&gt;=$B$1,1,""),"")</f>
        <v/>
      </c>
      <c r="D1137" s="41"/>
      <c r="E1137" s="41"/>
    </row>
    <row r="1138" spans="3:5" x14ac:dyDescent="0.25">
      <c r="C1138" s="53" t="str">
        <f>+IFERROR(IF(Tabla4[[#This Row],[FECHA]]&gt;=$B$1,1,""),"")</f>
        <v/>
      </c>
      <c r="D1138" s="41"/>
      <c r="E1138" s="41"/>
    </row>
    <row r="1139" spans="3:5" x14ac:dyDescent="0.25">
      <c r="C1139" s="53" t="str">
        <f>+IFERROR(IF(Tabla4[[#This Row],[FECHA]]&gt;=$B$1,1,""),"")</f>
        <v/>
      </c>
      <c r="D1139" s="41"/>
      <c r="E1139" s="41"/>
    </row>
    <row r="1140" spans="3:5" x14ac:dyDescent="0.25">
      <c r="C1140" s="53" t="str">
        <f>+IFERROR(IF(Tabla4[[#This Row],[FECHA]]&gt;=$B$1,1,""),"")</f>
        <v/>
      </c>
      <c r="D1140" s="41"/>
      <c r="E1140" s="41"/>
    </row>
    <row r="1141" spans="3:5" x14ac:dyDescent="0.25">
      <c r="C1141" s="53" t="str">
        <f>+IFERROR(IF(Tabla4[[#This Row],[FECHA]]&gt;=$B$1,1,""),"")</f>
        <v/>
      </c>
      <c r="D1141" s="41"/>
      <c r="E1141" s="41"/>
    </row>
    <row r="1142" spans="3:5" x14ac:dyDescent="0.25">
      <c r="C1142" s="53" t="str">
        <f>+IFERROR(IF(Tabla4[[#This Row],[FECHA]]&gt;=$B$1,1,""),"")</f>
        <v/>
      </c>
      <c r="D1142" s="41"/>
      <c r="E1142" s="41"/>
    </row>
    <row r="1143" spans="3:5" x14ac:dyDescent="0.25">
      <c r="C1143" s="53" t="str">
        <f>+IFERROR(IF(Tabla4[[#This Row],[FECHA]]&gt;=$B$1,1,""),"")</f>
        <v/>
      </c>
      <c r="D1143" s="41"/>
      <c r="E1143" s="41"/>
    </row>
    <row r="1144" spans="3:5" x14ac:dyDescent="0.25">
      <c r="C1144" s="53" t="str">
        <f>+IFERROR(IF(Tabla4[[#This Row],[FECHA]]&gt;=$B$1,1,""),"")</f>
        <v/>
      </c>
      <c r="D1144" s="41"/>
      <c r="E1144" s="41"/>
    </row>
    <row r="1145" spans="3:5" x14ac:dyDescent="0.25">
      <c r="C1145" s="53" t="str">
        <f>+IFERROR(IF(Tabla4[[#This Row],[FECHA]]&gt;=$B$1,1,""),"")</f>
        <v/>
      </c>
      <c r="D1145" s="41"/>
      <c r="E1145" s="41"/>
    </row>
    <row r="1146" spans="3:5" x14ac:dyDescent="0.25">
      <c r="C1146" s="53" t="str">
        <f>+IFERROR(IF(Tabla4[[#This Row],[FECHA]]&gt;=$B$1,1,""),"")</f>
        <v/>
      </c>
      <c r="D1146" s="41"/>
      <c r="E1146" s="41"/>
    </row>
    <row r="1147" spans="3:5" x14ac:dyDescent="0.25">
      <c r="C1147" s="53" t="str">
        <f>+IFERROR(IF(Tabla4[[#This Row],[FECHA]]&gt;=$B$1,1,""),"")</f>
        <v/>
      </c>
      <c r="D1147" s="41"/>
      <c r="E1147" s="41"/>
    </row>
    <row r="1148" spans="3:5" x14ac:dyDescent="0.25">
      <c r="C1148" s="53" t="str">
        <f>+IFERROR(IF(Tabla4[[#This Row],[FECHA]]&gt;=$B$1,1,""),"")</f>
        <v/>
      </c>
      <c r="D1148" s="41"/>
      <c r="E1148" s="41"/>
    </row>
    <row r="1149" spans="3:5" x14ac:dyDescent="0.25">
      <c r="C1149" s="53" t="str">
        <f>+IFERROR(IF(Tabla4[[#This Row],[FECHA]]&gt;=$B$1,1,""),"")</f>
        <v/>
      </c>
      <c r="D1149" s="41"/>
      <c r="E1149" s="41"/>
    </row>
    <row r="1150" spans="3:5" x14ac:dyDescent="0.25">
      <c r="C1150" s="53" t="str">
        <f>+IFERROR(IF(Tabla4[[#This Row],[FECHA]]&gt;=$B$1,1,""),"")</f>
        <v/>
      </c>
      <c r="D1150" s="41"/>
      <c r="E1150" s="41"/>
    </row>
    <row r="1151" spans="3:5" x14ac:dyDescent="0.25">
      <c r="C1151" s="53" t="str">
        <f>+IFERROR(IF(Tabla4[[#This Row],[FECHA]]&gt;=$B$1,1,""),"")</f>
        <v/>
      </c>
      <c r="D1151" s="41"/>
      <c r="E1151" s="41"/>
    </row>
    <row r="1152" spans="3:5" x14ac:dyDescent="0.25">
      <c r="C1152" s="53" t="str">
        <f>+IFERROR(IF(Tabla4[[#This Row],[FECHA]]&gt;=$B$1,1,""),"")</f>
        <v/>
      </c>
      <c r="D1152" s="41"/>
      <c r="E1152" s="41"/>
    </row>
    <row r="1153" spans="3:5" x14ac:dyDescent="0.25">
      <c r="C1153" s="53" t="str">
        <f>+IFERROR(IF(Tabla4[[#This Row],[FECHA]]&gt;=$B$1,1,""),"")</f>
        <v/>
      </c>
      <c r="D1153" s="41"/>
      <c r="E1153" s="41"/>
    </row>
    <row r="1154" spans="3:5" x14ac:dyDescent="0.25">
      <c r="C1154" s="53" t="str">
        <f>+IFERROR(IF(Tabla4[[#This Row],[FECHA]]&gt;=$B$1,1,""),"")</f>
        <v/>
      </c>
      <c r="D1154" s="41"/>
      <c r="E1154" s="41"/>
    </row>
    <row r="1155" spans="3:5" x14ac:dyDescent="0.25">
      <c r="C1155" s="53" t="str">
        <f>+IFERROR(IF(Tabla4[[#This Row],[FECHA]]&gt;=$B$1,1,""),"")</f>
        <v/>
      </c>
      <c r="D1155" s="41"/>
      <c r="E1155" s="41"/>
    </row>
    <row r="1156" spans="3:5" x14ac:dyDescent="0.25">
      <c r="C1156" s="53" t="str">
        <f>+IFERROR(IF(Tabla4[[#This Row],[FECHA]]&gt;=$B$1,1,""),"")</f>
        <v/>
      </c>
      <c r="D1156" s="41"/>
      <c r="E1156" s="41"/>
    </row>
    <row r="1157" spans="3:5" x14ac:dyDescent="0.25">
      <c r="C1157" s="53" t="str">
        <f>+IFERROR(IF(Tabla4[[#This Row],[FECHA]]&gt;=$B$1,1,""),"")</f>
        <v/>
      </c>
      <c r="D1157" s="41"/>
      <c r="E1157" s="41"/>
    </row>
    <row r="1158" spans="3:5" x14ac:dyDescent="0.25">
      <c r="C1158" s="53" t="str">
        <f>+IFERROR(IF(Tabla4[[#This Row],[FECHA]]&gt;=$B$1,1,""),"")</f>
        <v/>
      </c>
      <c r="D1158" s="41"/>
      <c r="E1158" s="41"/>
    </row>
    <row r="1159" spans="3:5" x14ac:dyDescent="0.25">
      <c r="C1159" s="53" t="str">
        <f>+IFERROR(IF(Tabla4[[#This Row],[FECHA]]&gt;=$B$1,1,""),"")</f>
        <v/>
      </c>
      <c r="D1159" s="41"/>
      <c r="E1159" s="41"/>
    </row>
    <row r="1160" spans="3:5" x14ac:dyDescent="0.25">
      <c r="C1160" s="53" t="str">
        <f>+IFERROR(IF(Tabla4[[#This Row],[FECHA]]&gt;=$B$1,1,""),"")</f>
        <v/>
      </c>
      <c r="D1160" s="41"/>
      <c r="E1160" s="41"/>
    </row>
    <row r="1161" spans="3:5" x14ac:dyDescent="0.25">
      <c r="C1161" s="53" t="str">
        <f>+IFERROR(IF(Tabla4[[#This Row],[FECHA]]&gt;=$B$1,1,""),"")</f>
        <v/>
      </c>
      <c r="D1161" s="41"/>
      <c r="E1161" s="41"/>
    </row>
    <row r="1162" spans="3:5" x14ac:dyDescent="0.25">
      <c r="C1162" s="53" t="str">
        <f>+IFERROR(IF(Tabla4[[#This Row],[FECHA]]&gt;=$B$1,1,""),"")</f>
        <v/>
      </c>
      <c r="D1162" s="41"/>
      <c r="E1162" s="41"/>
    </row>
    <row r="1163" spans="3:5" x14ac:dyDescent="0.25">
      <c r="C1163" s="53" t="str">
        <f>+IFERROR(IF(Tabla4[[#This Row],[FECHA]]&gt;=$B$1,1,""),"")</f>
        <v/>
      </c>
      <c r="D1163" s="41"/>
      <c r="E1163" s="41"/>
    </row>
    <row r="1164" spans="3:5" x14ac:dyDescent="0.25">
      <c r="C1164" s="53" t="str">
        <f>+IFERROR(IF(Tabla4[[#This Row],[FECHA]]&gt;=$B$1,1,""),"")</f>
        <v/>
      </c>
      <c r="D1164" s="41"/>
      <c r="E1164" s="41"/>
    </row>
    <row r="1165" spans="3:5" x14ac:dyDescent="0.25">
      <c r="C1165" s="53" t="str">
        <f>+IFERROR(IF(Tabla4[[#This Row],[FECHA]]&gt;=$B$1,1,""),"")</f>
        <v/>
      </c>
      <c r="D1165" s="41"/>
      <c r="E1165" s="41"/>
    </row>
    <row r="1166" spans="3:5" x14ac:dyDescent="0.25">
      <c r="C1166" s="53" t="str">
        <f>+IFERROR(IF(Tabla4[[#This Row],[FECHA]]&gt;=$B$1,1,""),"")</f>
        <v/>
      </c>
      <c r="D1166" s="41"/>
      <c r="E1166" s="41"/>
    </row>
    <row r="1167" spans="3:5" x14ac:dyDescent="0.25">
      <c r="C1167" s="53" t="str">
        <f>+IFERROR(IF(Tabla4[[#This Row],[FECHA]]&gt;=$B$1,1,""),"")</f>
        <v/>
      </c>
      <c r="D1167" s="41"/>
      <c r="E1167" s="41"/>
    </row>
    <row r="1168" spans="3:5" x14ac:dyDescent="0.25">
      <c r="C1168" s="53" t="str">
        <f>+IFERROR(IF(Tabla4[[#This Row],[FECHA]]&gt;=$B$1,1,""),"")</f>
        <v/>
      </c>
      <c r="D1168" s="41"/>
      <c r="E1168" s="41"/>
    </row>
    <row r="1169" spans="3:5" x14ac:dyDescent="0.25">
      <c r="C1169" s="53" t="str">
        <f>+IFERROR(IF(Tabla4[[#This Row],[FECHA]]&gt;=$B$1,1,""),"")</f>
        <v/>
      </c>
      <c r="D1169" s="41"/>
      <c r="E1169" s="41"/>
    </row>
    <row r="1170" spans="3:5" x14ac:dyDescent="0.25">
      <c r="C1170" s="53" t="str">
        <f>+IFERROR(IF(Tabla4[[#This Row],[FECHA]]&gt;=$B$1,1,""),"")</f>
        <v/>
      </c>
      <c r="D1170" s="41"/>
      <c r="E1170" s="41"/>
    </row>
    <row r="1171" spans="3:5" x14ac:dyDescent="0.25">
      <c r="C1171" s="53" t="str">
        <f>+IFERROR(IF(Tabla4[[#This Row],[FECHA]]&gt;=$B$1,1,""),"")</f>
        <v/>
      </c>
      <c r="D1171" s="41"/>
      <c r="E1171" s="41"/>
    </row>
    <row r="1172" spans="3:5" x14ac:dyDescent="0.25">
      <c r="C1172" s="53" t="str">
        <f>+IFERROR(IF(Tabla4[[#This Row],[FECHA]]&gt;=$B$1,1,""),"")</f>
        <v/>
      </c>
      <c r="D1172" s="41"/>
      <c r="E1172" s="41"/>
    </row>
    <row r="1173" spans="3:5" x14ac:dyDescent="0.25">
      <c r="C1173" s="53" t="str">
        <f>+IFERROR(IF(Tabla4[[#This Row],[FECHA]]&gt;=$B$1,1,""),"")</f>
        <v/>
      </c>
      <c r="D1173" s="41"/>
      <c r="E1173" s="41"/>
    </row>
    <row r="1174" spans="3:5" x14ac:dyDescent="0.25">
      <c r="C1174" s="53" t="str">
        <f>+IFERROR(IF(Tabla4[[#This Row],[FECHA]]&gt;=$B$1,1,""),"")</f>
        <v/>
      </c>
      <c r="D1174" s="41"/>
      <c r="E1174" s="41"/>
    </row>
    <row r="1175" spans="3:5" x14ac:dyDescent="0.25">
      <c r="C1175" s="53" t="str">
        <f>+IFERROR(IF(Tabla4[[#This Row],[FECHA]]&gt;=$B$1,1,""),"")</f>
        <v/>
      </c>
      <c r="D1175" s="41"/>
      <c r="E1175" s="41"/>
    </row>
    <row r="1176" spans="3:5" x14ac:dyDescent="0.25">
      <c r="C1176" s="53" t="str">
        <f>+IFERROR(IF(Tabla4[[#This Row],[FECHA]]&gt;=$B$1,1,""),"")</f>
        <v/>
      </c>
      <c r="D1176" s="41"/>
      <c r="E1176" s="41"/>
    </row>
    <row r="1177" spans="3:5" x14ac:dyDescent="0.25">
      <c r="C1177" s="53" t="str">
        <f>+IFERROR(IF(Tabla4[[#This Row],[FECHA]]&gt;=$B$1,1,""),"")</f>
        <v/>
      </c>
      <c r="D1177" s="41"/>
      <c r="E1177" s="41"/>
    </row>
    <row r="1178" spans="3:5" x14ac:dyDescent="0.25">
      <c r="C1178" s="53" t="str">
        <f>+IFERROR(IF(Tabla4[[#This Row],[FECHA]]&gt;=$B$1,1,""),"")</f>
        <v/>
      </c>
      <c r="D1178" s="41"/>
      <c r="E1178" s="41"/>
    </row>
    <row r="1179" spans="3:5" x14ac:dyDescent="0.25">
      <c r="C1179" s="53" t="str">
        <f>+IFERROR(IF(Tabla4[[#This Row],[FECHA]]&gt;=$B$1,1,""),"")</f>
        <v/>
      </c>
      <c r="D1179" s="41"/>
      <c r="E1179" s="41"/>
    </row>
    <row r="1180" spans="3:5" x14ac:dyDescent="0.25">
      <c r="C1180" s="53" t="str">
        <f>+IFERROR(IF(Tabla4[[#This Row],[FECHA]]&gt;=$B$1,1,""),"")</f>
        <v/>
      </c>
      <c r="D1180" s="41"/>
      <c r="E1180" s="41"/>
    </row>
    <row r="1181" spans="3:5" x14ac:dyDescent="0.25">
      <c r="C1181" s="53" t="str">
        <f>+IFERROR(IF(Tabla4[[#This Row],[FECHA]]&gt;=$B$1,1,""),"")</f>
        <v/>
      </c>
      <c r="D1181" s="41"/>
      <c r="E1181" s="41"/>
    </row>
    <row r="1182" spans="3:5" x14ac:dyDescent="0.25">
      <c r="C1182" s="53" t="str">
        <f>+IFERROR(IF(Tabla4[[#This Row],[FECHA]]&gt;=$B$1,1,""),"")</f>
        <v/>
      </c>
      <c r="D1182" s="41"/>
      <c r="E1182" s="41"/>
    </row>
    <row r="1183" spans="3:5" x14ac:dyDescent="0.25">
      <c r="C1183" s="53" t="str">
        <f>+IFERROR(IF(Tabla4[[#This Row],[FECHA]]&gt;=$B$1,1,""),"")</f>
        <v/>
      </c>
      <c r="D1183" s="41"/>
      <c r="E1183" s="41"/>
    </row>
    <row r="1184" spans="3:5" x14ac:dyDescent="0.25">
      <c r="C1184" s="53" t="str">
        <f>+IFERROR(IF(Tabla4[[#This Row],[FECHA]]&gt;=$B$1,1,""),"")</f>
        <v/>
      </c>
      <c r="D1184" s="41"/>
      <c r="E1184" s="41"/>
    </row>
    <row r="1185" spans="3:5" x14ac:dyDescent="0.25">
      <c r="C1185" s="53" t="str">
        <f>+IFERROR(IF(Tabla4[[#This Row],[FECHA]]&gt;=$B$1,1,""),"")</f>
        <v/>
      </c>
      <c r="D1185" s="41"/>
      <c r="E1185" s="41"/>
    </row>
    <row r="1186" spans="3:5" x14ac:dyDescent="0.25">
      <c r="C1186" s="53" t="str">
        <f>+IFERROR(IF(Tabla4[[#This Row],[FECHA]]&gt;=$B$1,1,""),"")</f>
        <v/>
      </c>
      <c r="D1186" s="41"/>
      <c r="E1186" s="41"/>
    </row>
    <row r="1187" spans="3:5" x14ac:dyDescent="0.25">
      <c r="C1187" s="53" t="str">
        <f>+IFERROR(IF(Tabla4[[#This Row],[FECHA]]&gt;=$B$1,1,""),"")</f>
        <v/>
      </c>
      <c r="D1187" s="41"/>
      <c r="E1187" s="41"/>
    </row>
    <row r="1188" spans="3:5" x14ac:dyDescent="0.25">
      <c r="C1188" s="53" t="str">
        <f>+IFERROR(IF(Tabla4[[#This Row],[FECHA]]&gt;=$B$1,1,""),"")</f>
        <v/>
      </c>
      <c r="D1188" s="41"/>
      <c r="E1188" s="41"/>
    </row>
    <row r="1189" spans="3:5" x14ac:dyDescent="0.25">
      <c r="C1189" s="53" t="str">
        <f>+IFERROR(IF(Tabla4[[#This Row],[FECHA]]&gt;=$B$1,1,""),"")</f>
        <v/>
      </c>
      <c r="D1189" s="41"/>
      <c r="E1189" s="41"/>
    </row>
    <row r="1190" spans="3:5" x14ac:dyDescent="0.25">
      <c r="C1190" s="53" t="str">
        <f>+IFERROR(IF(Tabla4[[#This Row],[FECHA]]&gt;=$B$1,1,""),"")</f>
        <v/>
      </c>
      <c r="D1190" s="41"/>
      <c r="E1190" s="41"/>
    </row>
    <row r="1191" spans="3:5" x14ac:dyDescent="0.25">
      <c r="C1191" s="53" t="str">
        <f>+IFERROR(IF(Tabla4[[#This Row],[FECHA]]&gt;=$B$1,1,""),"")</f>
        <v/>
      </c>
      <c r="D1191" s="41"/>
      <c r="E1191" s="41"/>
    </row>
    <row r="1192" spans="3:5" x14ac:dyDescent="0.25">
      <c r="C1192" s="53" t="str">
        <f>+IFERROR(IF(Tabla4[[#This Row],[FECHA]]&gt;=$B$1,1,""),"")</f>
        <v/>
      </c>
      <c r="D1192" s="41"/>
      <c r="E1192" s="41"/>
    </row>
    <row r="1193" spans="3:5" x14ac:dyDescent="0.25">
      <c r="C1193" s="53" t="str">
        <f>+IFERROR(IF(Tabla4[[#This Row],[FECHA]]&gt;=$B$1,1,""),"")</f>
        <v/>
      </c>
      <c r="D1193" s="41"/>
      <c r="E1193" s="41"/>
    </row>
    <row r="1194" spans="3:5" x14ac:dyDescent="0.25">
      <c r="C1194" s="53" t="str">
        <f>+IFERROR(IF(Tabla4[[#This Row],[FECHA]]&gt;=$B$1,1,""),"")</f>
        <v/>
      </c>
      <c r="D1194" s="41"/>
      <c r="E1194" s="41"/>
    </row>
    <row r="1195" spans="3:5" x14ac:dyDescent="0.25">
      <c r="C1195" s="53" t="str">
        <f>+IFERROR(IF(Tabla4[[#This Row],[FECHA]]&gt;=$B$1,1,""),"")</f>
        <v/>
      </c>
      <c r="D1195" s="41"/>
      <c r="E1195" s="41"/>
    </row>
    <row r="1196" spans="3:5" x14ac:dyDescent="0.25">
      <c r="C1196" s="53" t="str">
        <f>+IFERROR(IF(Tabla4[[#This Row],[FECHA]]&gt;=$B$1,1,""),"")</f>
        <v/>
      </c>
      <c r="D1196" s="41"/>
      <c r="E1196" s="41"/>
    </row>
    <row r="1197" spans="3:5" x14ac:dyDescent="0.25">
      <c r="C1197" s="53" t="str">
        <f>+IFERROR(IF(Tabla4[[#This Row],[FECHA]]&gt;=$B$1,1,""),"")</f>
        <v/>
      </c>
      <c r="D1197" s="41"/>
      <c r="E1197" s="41"/>
    </row>
    <row r="1198" spans="3:5" x14ac:dyDescent="0.25">
      <c r="C1198" s="53" t="str">
        <f>+IFERROR(IF(Tabla4[[#This Row],[FECHA]]&gt;=$B$1,1,""),"")</f>
        <v/>
      </c>
      <c r="D1198" s="41"/>
      <c r="E1198" s="41"/>
    </row>
    <row r="1199" spans="3:5" x14ac:dyDescent="0.25">
      <c r="C1199" s="53" t="str">
        <f>+IFERROR(IF(Tabla4[[#This Row],[FECHA]]&gt;=$B$1,1,""),"")</f>
        <v/>
      </c>
      <c r="D1199" s="41"/>
      <c r="E1199" s="41"/>
    </row>
    <row r="1200" spans="3:5" x14ac:dyDescent="0.25">
      <c r="C1200" s="53" t="str">
        <f>+IFERROR(IF(Tabla4[[#This Row],[FECHA]]&gt;=$B$1,1,""),"")</f>
        <v/>
      </c>
      <c r="D1200" s="41"/>
      <c r="E1200" s="41"/>
    </row>
    <row r="1201" spans="3:5" x14ac:dyDescent="0.25">
      <c r="C1201" s="53" t="str">
        <f>+IFERROR(IF(Tabla4[[#This Row],[FECHA]]&gt;=$B$1,1,""),"")</f>
        <v/>
      </c>
      <c r="D1201" s="41"/>
      <c r="E1201" s="41"/>
    </row>
    <row r="1202" spans="3:5" x14ac:dyDescent="0.25">
      <c r="C1202" s="53" t="str">
        <f>+IFERROR(IF(Tabla4[[#This Row],[FECHA]]&gt;=$B$1,1,""),"")</f>
        <v/>
      </c>
      <c r="D1202" s="41"/>
      <c r="E1202" s="41"/>
    </row>
    <row r="1203" spans="3:5" x14ac:dyDescent="0.25">
      <c r="C1203" s="53" t="str">
        <f>+IFERROR(IF(Tabla4[[#This Row],[FECHA]]&gt;=$B$1,1,""),"")</f>
        <v/>
      </c>
      <c r="D1203" s="41"/>
      <c r="E1203" s="41"/>
    </row>
    <row r="1204" spans="3:5" x14ac:dyDescent="0.25">
      <c r="C1204" s="53" t="str">
        <f>+IFERROR(IF(Tabla4[[#This Row],[FECHA]]&gt;=$B$1,1,""),"")</f>
        <v/>
      </c>
      <c r="D1204" s="41"/>
      <c r="E1204" s="41"/>
    </row>
    <row r="1205" spans="3:5" x14ac:dyDescent="0.25">
      <c r="C1205" s="53" t="str">
        <f>+IFERROR(IF(Tabla4[[#This Row],[FECHA]]&gt;=$B$1,1,""),"")</f>
        <v/>
      </c>
      <c r="D1205" s="41"/>
      <c r="E1205" s="41"/>
    </row>
    <row r="1206" spans="3:5" x14ac:dyDescent="0.25">
      <c r="C1206" s="53" t="str">
        <f>+IFERROR(IF(Tabla4[[#This Row],[FECHA]]&gt;=$B$1,1,""),"")</f>
        <v/>
      </c>
      <c r="D1206" s="41"/>
      <c r="E1206" s="41"/>
    </row>
    <row r="1207" spans="3:5" x14ac:dyDescent="0.25">
      <c r="C1207" s="53" t="str">
        <f>+IFERROR(IF(Tabla4[[#This Row],[FECHA]]&gt;=$B$1,1,""),"")</f>
        <v/>
      </c>
      <c r="D1207" s="41"/>
      <c r="E1207" s="41"/>
    </row>
    <row r="1208" spans="3:5" x14ac:dyDescent="0.25">
      <c r="C1208" s="53" t="str">
        <f>+IFERROR(IF(Tabla4[[#This Row],[FECHA]]&gt;=$B$1,1,""),"")</f>
        <v/>
      </c>
      <c r="D1208" s="41"/>
      <c r="E1208" s="41"/>
    </row>
    <row r="1209" spans="3:5" x14ac:dyDescent="0.25">
      <c r="C1209" s="53" t="str">
        <f>+IFERROR(IF(Tabla4[[#This Row],[FECHA]]&gt;=$B$1,1,""),"")</f>
        <v/>
      </c>
      <c r="D1209" s="41"/>
      <c r="E1209" s="41"/>
    </row>
    <row r="1210" spans="3:5" x14ac:dyDescent="0.25">
      <c r="C1210" s="53" t="str">
        <f>+IFERROR(IF(Tabla4[[#This Row],[FECHA]]&gt;=$B$1,1,""),"")</f>
        <v/>
      </c>
      <c r="D1210" s="41"/>
      <c r="E1210" s="41"/>
    </row>
    <row r="1211" spans="3:5" x14ac:dyDescent="0.25">
      <c r="C1211" s="53" t="str">
        <f>+IFERROR(IF(Tabla4[[#This Row],[FECHA]]&gt;=$B$1,1,""),"")</f>
        <v/>
      </c>
      <c r="D1211" s="41"/>
      <c r="E1211" s="41"/>
    </row>
    <row r="1212" spans="3:5" x14ac:dyDescent="0.25">
      <c r="C1212" s="53" t="str">
        <f>+IFERROR(IF(Tabla4[[#This Row],[FECHA]]&gt;=$B$1,1,""),"")</f>
        <v/>
      </c>
      <c r="D1212" s="41"/>
      <c r="E1212" s="41"/>
    </row>
    <row r="1213" spans="3:5" x14ac:dyDescent="0.25">
      <c r="C1213" s="53" t="str">
        <f>+IFERROR(IF(Tabla4[[#This Row],[FECHA]]&gt;=$B$1,1,""),"")</f>
        <v/>
      </c>
      <c r="D1213" s="41"/>
      <c r="E1213" s="41"/>
    </row>
    <row r="1214" spans="3:5" x14ac:dyDescent="0.25">
      <c r="C1214" s="53" t="str">
        <f>+IFERROR(IF(Tabla4[[#This Row],[FECHA]]&gt;=$B$1,1,""),"")</f>
        <v/>
      </c>
      <c r="D1214" s="41"/>
      <c r="E1214" s="41"/>
    </row>
    <row r="1215" spans="3:5" x14ac:dyDescent="0.25">
      <c r="C1215" s="53" t="str">
        <f>+IFERROR(IF(Tabla4[[#This Row],[FECHA]]&gt;=$B$1,1,""),"")</f>
        <v/>
      </c>
      <c r="D1215" s="41"/>
      <c r="E1215" s="41"/>
    </row>
    <row r="1216" spans="3:5" x14ac:dyDescent="0.25">
      <c r="C1216" s="53" t="str">
        <f>+IFERROR(IF(Tabla4[[#This Row],[FECHA]]&gt;=$B$1,1,""),"")</f>
        <v/>
      </c>
      <c r="D1216" s="41"/>
      <c r="E1216" s="41"/>
    </row>
    <row r="1217" spans="3:5" x14ac:dyDescent="0.25">
      <c r="C1217" s="53" t="str">
        <f>+IFERROR(IF(Tabla4[[#This Row],[FECHA]]&gt;=$B$1,1,""),"")</f>
        <v/>
      </c>
      <c r="D1217" s="41"/>
      <c r="E1217" s="41"/>
    </row>
    <row r="1218" spans="3:5" x14ac:dyDescent="0.25">
      <c r="C1218" s="53" t="str">
        <f>+IFERROR(IF(Tabla4[[#This Row],[FECHA]]&gt;=$B$1,1,""),"")</f>
        <v/>
      </c>
      <c r="D1218" s="41"/>
      <c r="E1218" s="41"/>
    </row>
    <row r="1219" spans="3:5" x14ac:dyDescent="0.25">
      <c r="C1219" s="53" t="str">
        <f>+IFERROR(IF(Tabla4[[#This Row],[FECHA]]&gt;=$B$1,1,""),"")</f>
        <v/>
      </c>
      <c r="D1219" s="41"/>
      <c r="E1219" s="41"/>
    </row>
    <row r="1220" spans="3:5" x14ac:dyDescent="0.25">
      <c r="C1220" s="53" t="str">
        <f>+IFERROR(IF(Tabla4[[#This Row],[FECHA]]&gt;=$B$1,1,""),"")</f>
        <v/>
      </c>
      <c r="D1220" s="41"/>
      <c r="E1220" s="41"/>
    </row>
    <row r="1221" spans="3:5" x14ac:dyDescent="0.25">
      <c r="C1221" s="53" t="str">
        <f>+IFERROR(IF(Tabla4[[#This Row],[FECHA]]&gt;=$B$1,1,""),"")</f>
        <v/>
      </c>
      <c r="D1221" s="41"/>
      <c r="E1221" s="41"/>
    </row>
    <row r="1222" spans="3:5" x14ac:dyDescent="0.25">
      <c r="C1222" s="53" t="str">
        <f>+IFERROR(IF(Tabla4[[#This Row],[FECHA]]&gt;=$B$1,1,""),"")</f>
        <v/>
      </c>
      <c r="D1222" s="41"/>
      <c r="E1222" s="41"/>
    </row>
    <row r="1223" spans="3:5" x14ac:dyDescent="0.25">
      <c r="C1223" s="53" t="str">
        <f>+IFERROR(IF(Tabla4[[#This Row],[FECHA]]&gt;=$B$1,1,""),"")</f>
        <v/>
      </c>
      <c r="D1223" s="41"/>
      <c r="E1223" s="41"/>
    </row>
    <row r="1224" spans="3:5" x14ac:dyDescent="0.25">
      <c r="C1224" s="53" t="str">
        <f>+IFERROR(IF(Tabla4[[#This Row],[FECHA]]&gt;=$B$1,1,""),"")</f>
        <v/>
      </c>
      <c r="D1224" s="41"/>
      <c r="E1224" s="41"/>
    </row>
    <row r="1225" spans="3:5" x14ac:dyDescent="0.25">
      <c r="C1225" s="53" t="str">
        <f>+IFERROR(IF(Tabla4[[#This Row],[FECHA]]&gt;=$B$1,1,""),"")</f>
        <v/>
      </c>
      <c r="D1225" s="41"/>
      <c r="E1225" s="41"/>
    </row>
    <row r="1226" spans="3:5" x14ac:dyDescent="0.25">
      <c r="C1226" s="53" t="str">
        <f>+IFERROR(IF(Tabla4[[#This Row],[FECHA]]&gt;=$B$1,1,""),"")</f>
        <v/>
      </c>
      <c r="D1226" s="41"/>
      <c r="E1226" s="41"/>
    </row>
    <row r="1227" spans="3:5" x14ac:dyDescent="0.25">
      <c r="C1227" s="53" t="str">
        <f>+IFERROR(IF(Tabla4[[#This Row],[FECHA]]&gt;=$B$1,1,""),"")</f>
        <v/>
      </c>
      <c r="D1227" s="41"/>
      <c r="E1227" s="41"/>
    </row>
    <row r="1228" spans="3:5" x14ac:dyDescent="0.25">
      <c r="C1228" s="53" t="str">
        <f>+IFERROR(IF(Tabla4[[#This Row],[FECHA]]&gt;=$B$1,1,""),"")</f>
        <v/>
      </c>
      <c r="D1228" s="41"/>
      <c r="E1228" s="41"/>
    </row>
    <row r="1229" spans="3:5" x14ac:dyDescent="0.25">
      <c r="C1229" s="53" t="str">
        <f>+IFERROR(IF(Tabla4[[#This Row],[FECHA]]&gt;=$B$1,1,""),"")</f>
        <v/>
      </c>
      <c r="D1229" s="41"/>
      <c r="E1229" s="41"/>
    </row>
    <row r="1230" spans="3:5" x14ac:dyDescent="0.25">
      <c r="C1230" s="53" t="str">
        <f>+IFERROR(IF(Tabla4[[#This Row],[FECHA]]&gt;=$B$1,1,""),"")</f>
        <v/>
      </c>
      <c r="D1230" s="41"/>
      <c r="E1230" s="41"/>
    </row>
    <row r="1231" spans="3:5" x14ac:dyDescent="0.25">
      <c r="C1231" s="53" t="str">
        <f>+IFERROR(IF(Tabla4[[#This Row],[FECHA]]&gt;=$B$1,1,""),"")</f>
        <v/>
      </c>
      <c r="D1231" s="41"/>
      <c r="E1231" s="41"/>
    </row>
    <row r="1232" spans="3:5" x14ac:dyDescent="0.25">
      <c r="C1232" s="53" t="str">
        <f>+IFERROR(IF(Tabla4[[#This Row],[FECHA]]&gt;=$B$1,1,""),"")</f>
        <v/>
      </c>
      <c r="D1232" s="41"/>
      <c r="E1232" s="41"/>
    </row>
    <row r="1233" spans="3:5" x14ac:dyDescent="0.25">
      <c r="C1233" s="53" t="str">
        <f>+IFERROR(IF(Tabla4[[#This Row],[FECHA]]&gt;=$B$1,1,""),"")</f>
        <v/>
      </c>
      <c r="D1233" s="41"/>
      <c r="E1233" s="41"/>
    </row>
    <row r="1234" spans="3:5" x14ac:dyDescent="0.25">
      <c r="C1234" s="53" t="str">
        <f>+IFERROR(IF(Tabla4[[#This Row],[FECHA]]&gt;=$B$1,1,""),"")</f>
        <v/>
      </c>
      <c r="D1234" s="41"/>
      <c r="E1234" s="41"/>
    </row>
    <row r="1235" spans="3:5" x14ac:dyDescent="0.25">
      <c r="C1235" s="53" t="str">
        <f>+IFERROR(IF(Tabla4[[#This Row],[FECHA]]&gt;=$B$1,1,""),"")</f>
        <v/>
      </c>
      <c r="D1235" s="41"/>
      <c r="E1235" s="41"/>
    </row>
    <row r="1236" spans="3:5" x14ac:dyDescent="0.25">
      <c r="C1236" s="53" t="str">
        <f>+IFERROR(IF(Tabla4[[#This Row],[FECHA]]&gt;=$B$1,1,""),"")</f>
        <v/>
      </c>
      <c r="D1236" s="41"/>
      <c r="E1236" s="41"/>
    </row>
    <row r="1237" spans="3:5" x14ac:dyDescent="0.25">
      <c r="C1237" s="53" t="str">
        <f>+IFERROR(IF(Tabla4[[#This Row],[FECHA]]&gt;=$B$1,1,""),"")</f>
        <v/>
      </c>
      <c r="D1237" s="41"/>
      <c r="E1237" s="41"/>
    </row>
    <row r="1238" spans="3:5" x14ac:dyDescent="0.25">
      <c r="C1238" s="53" t="str">
        <f>+IFERROR(IF(Tabla4[[#This Row],[FECHA]]&gt;=$B$1,1,""),"")</f>
        <v/>
      </c>
      <c r="D1238" s="41"/>
      <c r="E1238" s="41"/>
    </row>
    <row r="1239" spans="3:5" x14ac:dyDescent="0.25">
      <c r="C1239" s="53" t="str">
        <f>+IFERROR(IF(Tabla4[[#This Row],[FECHA]]&gt;=$B$1,1,""),"")</f>
        <v/>
      </c>
      <c r="D1239" s="41"/>
      <c r="E1239" s="41"/>
    </row>
    <row r="1240" spans="3:5" x14ac:dyDescent="0.25">
      <c r="C1240" s="53" t="str">
        <f>+IFERROR(IF(Tabla4[[#This Row],[FECHA]]&gt;=$B$1,1,""),"")</f>
        <v/>
      </c>
      <c r="D1240" s="41"/>
      <c r="E1240" s="41"/>
    </row>
    <row r="1241" spans="3:5" x14ac:dyDescent="0.25">
      <c r="C1241" s="53" t="str">
        <f>+IFERROR(IF(Tabla4[[#This Row],[FECHA]]&gt;=$B$1,1,""),"")</f>
        <v/>
      </c>
      <c r="D1241" s="41"/>
      <c r="E1241" s="41"/>
    </row>
    <row r="1242" spans="3:5" x14ac:dyDescent="0.25">
      <c r="C1242" s="53" t="str">
        <f>+IFERROR(IF(Tabla4[[#This Row],[FECHA]]&gt;=$B$1,1,""),"")</f>
        <v/>
      </c>
      <c r="D1242" s="41"/>
      <c r="E1242" s="41"/>
    </row>
    <row r="1243" spans="3:5" x14ac:dyDescent="0.25">
      <c r="C1243" s="53" t="str">
        <f>+IFERROR(IF(Tabla4[[#This Row],[FECHA]]&gt;=$B$1,1,""),"")</f>
        <v/>
      </c>
      <c r="D1243" s="41"/>
      <c r="E1243" s="41"/>
    </row>
    <row r="1244" spans="3:5" x14ac:dyDescent="0.25">
      <c r="C1244" s="53" t="str">
        <f>+IFERROR(IF(Tabla4[[#This Row],[FECHA]]&gt;=$B$1,1,""),"")</f>
        <v/>
      </c>
      <c r="D1244" s="41"/>
      <c r="E1244" s="41"/>
    </row>
    <row r="1245" spans="3:5" x14ac:dyDescent="0.25">
      <c r="C1245" s="53" t="str">
        <f>+IFERROR(IF(Tabla4[[#This Row],[FECHA]]&gt;=$B$1,1,""),"")</f>
        <v/>
      </c>
      <c r="D1245" s="41"/>
      <c r="E1245" s="41"/>
    </row>
    <row r="1246" spans="3:5" x14ac:dyDescent="0.25">
      <c r="C1246" s="53" t="str">
        <f>+IFERROR(IF(Tabla4[[#This Row],[FECHA]]&gt;=$B$1,1,""),"")</f>
        <v/>
      </c>
      <c r="D1246" s="41"/>
      <c r="E1246" s="41"/>
    </row>
    <row r="1247" spans="3:5" x14ac:dyDescent="0.25">
      <c r="C1247" s="53" t="str">
        <f>+IFERROR(IF(Tabla4[[#This Row],[FECHA]]&gt;=$B$1,1,""),"")</f>
        <v/>
      </c>
      <c r="D1247" s="41"/>
      <c r="E1247" s="41"/>
    </row>
    <row r="1248" spans="3:5" x14ac:dyDescent="0.25">
      <c r="C1248" s="53" t="str">
        <f>+IFERROR(IF(Tabla4[[#This Row],[FECHA]]&gt;=$B$1,1,""),"")</f>
        <v/>
      </c>
      <c r="D1248" s="41"/>
      <c r="E1248" s="41"/>
    </row>
    <row r="1249" spans="3:5" x14ac:dyDescent="0.25">
      <c r="C1249" s="53" t="str">
        <f>+IFERROR(IF(Tabla4[[#This Row],[FECHA]]&gt;=$B$1,1,""),"")</f>
        <v/>
      </c>
      <c r="D1249" s="41"/>
      <c r="E1249" s="41"/>
    </row>
    <row r="1250" spans="3:5" x14ac:dyDescent="0.25">
      <c r="C1250" s="53" t="str">
        <f>+IFERROR(IF(Tabla4[[#This Row],[FECHA]]&gt;=$B$1,1,""),"")</f>
        <v/>
      </c>
      <c r="D1250" s="41"/>
      <c r="E1250" s="41"/>
    </row>
    <row r="1251" spans="3:5" x14ac:dyDescent="0.25">
      <c r="C1251" s="53" t="str">
        <f>+IFERROR(IF(Tabla4[[#This Row],[FECHA]]&gt;=$B$1,1,""),"")</f>
        <v/>
      </c>
      <c r="D1251" s="41"/>
      <c r="E1251" s="41"/>
    </row>
    <row r="1252" spans="3:5" x14ac:dyDescent="0.25">
      <c r="C1252" s="53" t="str">
        <f>+IFERROR(IF(Tabla4[[#This Row],[FECHA]]&gt;=$B$1,1,""),"")</f>
        <v/>
      </c>
      <c r="D1252" s="41"/>
      <c r="E1252" s="41"/>
    </row>
    <row r="1253" spans="3:5" x14ac:dyDescent="0.25">
      <c r="C1253" s="53" t="str">
        <f>+IFERROR(IF(Tabla4[[#This Row],[FECHA]]&gt;=$B$1,1,""),"")</f>
        <v/>
      </c>
      <c r="D1253" s="41"/>
      <c r="E1253" s="41"/>
    </row>
    <row r="1254" spans="3:5" x14ac:dyDescent="0.25">
      <c r="C1254" s="53" t="str">
        <f>+IFERROR(IF(Tabla4[[#This Row],[FECHA]]&gt;=$B$1,1,""),"")</f>
        <v/>
      </c>
      <c r="D1254" s="41"/>
      <c r="E1254" s="41"/>
    </row>
    <row r="1255" spans="3:5" x14ac:dyDescent="0.25">
      <c r="C1255" s="53" t="str">
        <f>+IFERROR(IF(Tabla4[[#This Row],[FECHA]]&gt;=$B$1,1,""),"")</f>
        <v/>
      </c>
      <c r="D1255" s="41"/>
      <c r="E1255" s="41"/>
    </row>
    <row r="1256" spans="3:5" x14ac:dyDescent="0.25">
      <c r="C1256" s="53" t="str">
        <f>+IFERROR(IF(Tabla4[[#This Row],[FECHA]]&gt;=$B$1,1,""),"")</f>
        <v/>
      </c>
      <c r="D1256" s="41"/>
      <c r="E1256" s="41"/>
    </row>
    <row r="1257" spans="3:5" x14ac:dyDescent="0.25">
      <c r="C1257" s="53" t="str">
        <f>+IFERROR(IF(Tabla4[[#This Row],[FECHA]]&gt;=$B$1,1,""),"")</f>
        <v/>
      </c>
      <c r="D1257" s="41"/>
      <c r="E1257" s="41"/>
    </row>
    <row r="1258" spans="3:5" x14ac:dyDescent="0.25">
      <c r="C1258" s="53" t="str">
        <f>+IFERROR(IF(Tabla4[[#This Row],[FECHA]]&gt;=$B$1,1,""),"")</f>
        <v/>
      </c>
      <c r="D1258" s="41"/>
      <c r="E1258" s="41"/>
    </row>
    <row r="1259" spans="3:5" x14ac:dyDescent="0.25">
      <c r="C1259" s="53" t="str">
        <f>+IFERROR(IF(Tabla4[[#This Row],[FECHA]]&gt;=$B$1,1,""),"")</f>
        <v/>
      </c>
      <c r="D1259" s="41"/>
      <c r="E1259" s="41"/>
    </row>
    <row r="1260" spans="3:5" x14ac:dyDescent="0.25">
      <c r="C1260" s="53" t="str">
        <f>+IFERROR(IF(Tabla4[[#This Row],[FECHA]]&gt;=$B$1,1,""),"")</f>
        <v/>
      </c>
      <c r="D1260" s="41"/>
      <c r="E1260" s="41"/>
    </row>
    <row r="1261" spans="3:5" x14ac:dyDescent="0.25">
      <c r="C1261" s="53" t="str">
        <f>+IFERROR(IF(Tabla4[[#This Row],[FECHA]]&gt;=$B$1,1,""),"")</f>
        <v/>
      </c>
      <c r="D1261" s="41"/>
      <c r="E1261" s="41"/>
    </row>
    <row r="1262" spans="3:5" x14ac:dyDescent="0.25">
      <c r="C1262" s="53" t="str">
        <f>+IFERROR(IF(Tabla4[[#This Row],[FECHA]]&gt;=$B$1,1,""),"")</f>
        <v/>
      </c>
      <c r="D1262" s="41"/>
      <c r="E1262" s="41"/>
    </row>
    <row r="1263" spans="3:5" x14ac:dyDescent="0.25">
      <c r="C1263" s="53" t="str">
        <f>+IFERROR(IF(Tabla4[[#This Row],[FECHA]]&gt;=$B$1,1,""),"")</f>
        <v/>
      </c>
      <c r="D1263" s="41"/>
      <c r="E1263" s="41"/>
    </row>
    <row r="1264" spans="3:5" x14ac:dyDescent="0.25">
      <c r="C1264" s="53" t="str">
        <f>+IFERROR(IF(Tabla4[[#This Row],[FECHA]]&gt;=$B$1,1,""),"")</f>
        <v/>
      </c>
      <c r="D1264" s="41"/>
      <c r="E1264" s="41"/>
    </row>
    <row r="1265" spans="3:5" x14ac:dyDescent="0.25">
      <c r="C1265" s="53" t="str">
        <f>+IFERROR(IF(Tabla4[[#This Row],[FECHA]]&gt;=$B$1,1,""),"")</f>
        <v/>
      </c>
      <c r="D1265" s="41"/>
      <c r="E1265" s="41"/>
    </row>
    <row r="1266" spans="3:5" x14ac:dyDescent="0.25">
      <c r="C1266" s="53" t="str">
        <f>+IFERROR(IF(Tabla4[[#This Row],[FECHA]]&gt;=$B$1,1,""),"")</f>
        <v/>
      </c>
      <c r="D1266" s="41"/>
      <c r="E1266" s="41"/>
    </row>
    <row r="1267" spans="3:5" x14ac:dyDescent="0.25">
      <c r="C1267" s="53" t="str">
        <f>+IFERROR(IF(Tabla4[[#This Row],[FECHA]]&gt;=$B$1,1,""),"")</f>
        <v/>
      </c>
      <c r="D1267" s="41"/>
      <c r="E1267" s="41"/>
    </row>
    <row r="1268" spans="3:5" x14ac:dyDescent="0.25">
      <c r="C1268" s="53" t="str">
        <f>+IFERROR(IF(Tabla4[[#This Row],[FECHA]]&gt;=$B$1,1,""),"")</f>
        <v/>
      </c>
      <c r="D1268" s="41"/>
      <c r="E1268" s="41"/>
    </row>
    <row r="1269" spans="3:5" x14ac:dyDescent="0.25">
      <c r="C1269" s="53" t="str">
        <f>+IFERROR(IF(Tabla4[[#This Row],[FECHA]]&gt;=$B$1,1,""),"")</f>
        <v/>
      </c>
      <c r="D1269" s="41"/>
      <c r="E1269" s="41"/>
    </row>
    <row r="1270" spans="3:5" x14ac:dyDescent="0.25">
      <c r="C1270" s="53" t="str">
        <f>+IFERROR(IF(Tabla4[[#This Row],[FECHA]]&gt;=$B$1,1,""),"")</f>
        <v/>
      </c>
      <c r="D1270" s="41"/>
      <c r="E1270" s="41"/>
    </row>
    <row r="1271" spans="3:5" x14ac:dyDescent="0.25">
      <c r="C1271" s="53" t="str">
        <f>+IFERROR(IF(Tabla4[[#This Row],[FECHA]]&gt;=$B$1,1,""),"")</f>
        <v/>
      </c>
      <c r="D1271" s="41"/>
      <c r="E1271" s="41"/>
    </row>
    <row r="1272" spans="3:5" x14ac:dyDescent="0.25">
      <c r="C1272" s="53" t="str">
        <f>+IFERROR(IF(Tabla4[[#This Row],[FECHA]]&gt;=$B$1,1,""),"")</f>
        <v/>
      </c>
      <c r="D1272" s="41"/>
      <c r="E1272" s="41"/>
    </row>
    <row r="1273" spans="3:5" x14ac:dyDescent="0.25">
      <c r="C1273" s="53" t="str">
        <f>+IFERROR(IF(Tabla4[[#This Row],[FECHA]]&gt;=$B$1,1,""),"")</f>
        <v/>
      </c>
      <c r="D1273" s="41"/>
      <c r="E1273" s="41"/>
    </row>
    <row r="1274" spans="3:5" x14ac:dyDescent="0.25">
      <c r="C1274" s="53" t="str">
        <f>+IFERROR(IF(Tabla4[[#This Row],[FECHA]]&gt;=$B$1,1,""),"")</f>
        <v/>
      </c>
      <c r="D1274" s="41"/>
      <c r="E1274" s="41"/>
    </row>
    <row r="1275" spans="3:5" x14ac:dyDescent="0.25">
      <c r="C1275" s="53" t="str">
        <f>+IFERROR(IF(Tabla4[[#This Row],[FECHA]]&gt;=$B$1,1,""),"")</f>
        <v/>
      </c>
      <c r="D1275" s="41"/>
      <c r="E1275" s="41"/>
    </row>
    <row r="1276" spans="3:5" x14ac:dyDescent="0.25">
      <c r="C1276" s="53" t="str">
        <f>+IFERROR(IF(Tabla4[[#This Row],[FECHA]]&gt;=$B$1,1,""),"")</f>
        <v/>
      </c>
      <c r="D1276" s="41"/>
      <c r="E1276" s="41"/>
    </row>
    <row r="1277" spans="3:5" x14ac:dyDescent="0.25">
      <c r="C1277" s="53" t="str">
        <f>+IFERROR(IF(Tabla4[[#This Row],[FECHA]]&gt;=$B$1,1,""),"")</f>
        <v/>
      </c>
      <c r="D1277" s="41"/>
      <c r="E1277" s="41"/>
    </row>
    <row r="1278" spans="3:5" x14ac:dyDescent="0.25">
      <c r="C1278" s="53" t="str">
        <f>+IFERROR(IF(Tabla4[[#This Row],[FECHA]]&gt;=$B$1,1,""),"")</f>
        <v/>
      </c>
      <c r="D1278" s="41"/>
      <c r="E1278" s="41"/>
    </row>
    <row r="1279" spans="3:5" x14ac:dyDescent="0.25">
      <c r="C1279" s="53" t="str">
        <f>+IFERROR(IF(Tabla4[[#This Row],[FECHA]]&gt;=$B$1,1,""),"")</f>
        <v/>
      </c>
      <c r="D1279" s="41"/>
      <c r="E1279" s="41"/>
    </row>
    <row r="1280" spans="3:5" x14ac:dyDescent="0.25">
      <c r="C1280" s="53" t="str">
        <f>+IFERROR(IF(Tabla4[[#This Row],[FECHA]]&gt;=$B$1,1,""),"")</f>
        <v/>
      </c>
      <c r="D1280" s="41"/>
      <c r="E1280" s="41"/>
    </row>
    <row r="1281" spans="3:5" x14ac:dyDescent="0.25">
      <c r="C1281" s="53" t="str">
        <f>+IFERROR(IF(Tabla4[[#This Row],[FECHA]]&gt;=$B$1,1,""),"")</f>
        <v/>
      </c>
      <c r="D1281" s="41"/>
      <c r="E1281" s="41"/>
    </row>
    <row r="1282" spans="3:5" x14ac:dyDescent="0.25">
      <c r="C1282" s="53" t="str">
        <f>+IFERROR(IF(Tabla4[[#This Row],[FECHA]]&gt;=$B$1,1,""),"")</f>
        <v/>
      </c>
      <c r="D1282" s="41"/>
      <c r="E1282" s="41"/>
    </row>
    <row r="1283" spans="3:5" x14ac:dyDescent="0.25">
      <c r="C1283" s="53" t="str">
        <f>+IFERROR(IF(Tabla4[[#This Row],[FECHA]]&gt;=$B$1,1,""),"")</f>
        <v/>
      </c>
      <c r="D1283" s="41"/>
      <c r="E1283" s="41"/>
    </row>
    <row r="1284" spans="3:5" x14ac:dyDescent="0.25">
      <c r="C1284" s="53" t="str">
        <f>+IFERROR(IF(Tabla4[[#This Row],[FECHA]]&gt;=$B$1,1,""),"")</f>
        <v/>
      </c>
      <c r="D1284" s="41"/>
      <c r="E1284" s="41"/>
    </row>
    <row r="1285" spans="3:5" x14ac:dyDescent="0.25">
      <c r="C1285" s="53" t="str">
        <f>+IFERROR(IF(Tabla4[[#This Row],[FECHA]]&gt;=$B$1,1,""),"")</f>
        <v/>
      </c>
      <c r="D1285" s="41"/>
      <c r="E1285" s="41"/>
    </row>
    <row r="1286" spans="3:5" x14ac:dyDescent="0.25">
      <c r="C1286" s="53" t="str">
        <f>+IFERROR(IF(Tabla4[[#This Row],[FECHA]]&gt;=$B$1,1,""),"")</f>
        <v/>
      </c>
      <c r="D1286" s="41"/>
      <c r="E1286" s="41"/>
    </row>
    <row r="1287" spans="3:5" x14ac:dyDescent="0.25">
      <c r="C1287" s="53" t="str">
        <f>+IFERROR(IF(Tabla4[[#This Row],[FECHA]]&gt;=$B$1,1,""),"")</f>
        <v/>
      </c>
      <c r="D1287" s="41"/>
      <c r="E1287" s="41"/>
    </row>
    <row r="1288" spans="3:5" x14ac:dyDescent="0.25">
      <c r="C1288" s="53" t="str">
        <f>+IFERROR(IF(Tabla4[[#This Row],[FECHA]]&gt;=$B$1,1,""),"")</f>
        <v/>
      </c>
      <c r="D1288" s="41"/>
      <c r="E1288" s="41"/>
    </row>
    <row r="1289" spans="3:5" x14ac:dyDescent="0.25">
      <c r="C1289" s="53" t="str">
        <f>+IFERROR(IF(Tabla4[[#This Row],[FECHA]]&gt;=$B$1,1,""),"")</f>
        <v/>
      </c>
      <c r="D1289" s="41"/>
      <c r="E1289" s="41"/>
    </row>
    <row r="1290" spans="3:5" x14ac:dyDescent="0.25">
      <c r="C1290" s="53" t="str">
        <f>+IFERROR(IF(Tabla4[[#This Row],[FECHA]]&gt;=$B$1,1,""),"")</f>
        <v/>
      </c>
      <c r="D1290" s="41"/>
      <c r="E1290" s="41"/>
    </row>
    <row r="1291" spans="3:5" x14ac:dyDescent="0.25">
      <c r="C1291" s="53" t="str">
        <f>+IFERROR(IF(Tabla4[[#This Row],[FECHA]]&gt;=$B$1,1,""),"")</f>
        <v/>
      </c>
      <c r="D1291" s="41"/>
      <c r="E1291" s="41"/>
    </row>
    <row r="1292" spans="3:5" x14ac:dyDescent="0.25">
      <c r="C1292" s="53" t="str">
        <f>+IFERROR(IF(Tabla4[[#This Row],[FECHA]]&gt;=$B$1,1,""),"")</f>
        <v/>
      </c>
      <c r="D1292" s="41"/>
      <c r="E1292" s="41"/>
    </row>
    <row r="1293" spans="3:5" x14ac:dyDescent="0.25">
      <c r="C1293" s="53" t="str">
        <f>+IFERROR(IF(Tabla4[[#This Row],[FECHA]]&gt;=$B$1,1,""),"")</f>
        <v/>
      </c>
      <c r="D1293" s="41"/>
      <c r="E1293" s="41"/>
    </row>
    <row r="1294" spans="3:5" x14ac:dyDescent="0.25">
      <c r="C1294" s="53" t="str">
        <f>+IFERROR(IF(Tabla4[[#This Row],[FECHA]]&gt;=$B$1,1,""),"")</f>
        <v/>
      </c>
      <c r="D1294" s="41"/>
      <c r="E1294" s="41"/>
    </row>
    <row r="1295" spans="3:5" x14ac:dyDescent="0.25">
      <c r="C1295" s="53" t="str">
        <f>+IFERROR(IF(Tabla4[[#This Row],[FECHA]]&gt;=$B$1,1,""),"")</f>
        <v/>
      </c>
      <c r="D1295" s="41"/>
      <c r="E1295" s="41"/>
    </row>
    <row r="1296" spans="3:5" x14ac:dyDescent="0.25">
      <c r="C1296" s="53" t="str">
        <f>+IFERROR(IF(Tabla4[[#This Row],[FECHA]]&gt;=$B$1,1,""),"")</f>
        <v/>
      </c>
      <c r="D1296" s="41"/>
      <c r="E1296" s="41"/>
    </row>
    <row r="1297" spans="3:5" x14ac:dyDescent="0.25">
      <c r="C1297" s="53" t="str">
        <f>+IFERROR(IF(Tabla4[[#This Row],[FECHA]]&gt;=$B$1,1,""),"")</f>
        <v/>
      </c>
      <c r="D1297" s="41"/>
      <c r="E1297" s="41"/>
    </row>
    <row r="1298" spans="3:5" x14ac:dyDescent="0.25">
      <c r="C1298" s="53" t="str">
        <f>+IFERROR(IF(Tabla4[[#This Row],[FECHA]]&gt;=$B$1,1,""),"")</f>
        <v/>
      </c>
      <c r="D1298" s="41"/>
      <c r="E1298" s="41"/>
    </row>
    <row r="1299" spans="3:5" x14ac:dyDescent="0.25">
      <c r="C1299" s="53" t="str">
        <f>+IFERROR(IF(Tabla4[[#This Row],[FECHA]]&gt;=$B$1,1,""),"")</f>
        <v/>
      </c>
      <c r="D1299" s="41"/>
      <c r="E1299" s="41"/>
    </row>
    <row r="1300" spans="3:5" x14ac:dyDescent="0.25">
      <c r="C1300" s="51" t="str">
        <f>+IFERROR(IF(Tabla4[[#This Row],[FECHA]]&gt;$B$1,1,""),"")</f>
        <v/>
      </c>
      <c r="D1300" s="41"/>
      <c r="E1300" s="41"/>
    </row>
    <row r="1301" spans="3:5" x14ac:dyDescent="0.25">
      <c r="C1301" s="51" t="str">
        <f>+IFERROR(IF(Tabla4[[#This Row],[FECHA]]&gt;$B$1,1,""),"")</f>
        <v/>
      </c>
      <c r="D1301" s="41"/>
      <c r="E1301" s="41"/>
    </row>
    <row r="1302" spans="3:5" x14ac:dyDescent="0.25">
      <c r="C1302" s="51" t="str">
        <f>+IFERROR(IF(Tabla4[[#This Row],[FECHA]]&gt;$B$1,1,""),"")</f>
        <v/>
      </c>
      <c r="D1302" s="41"/>
      <c r="E1302" s="41"/>
    </row>
    <row r="1303" spans="3:5" x14ac:dyDescent="0.25">
      <c r="C1303" s="51" t="str">
        <f>+IFERROR(IF(Tabla4[[#This Row],[FECHA]]&gt;$B$1,1,""),"")</f>
        <v/>
      </c>
      <c r="D1303" s="41"/>
      <c r="E1303" s="41"/>
    </row>
    <row r="1304" spans="3:5" x14ac:dyDescent="0.25">
      <c r="C1304" s="51" t="str">
        <f>+IFERROR(IF(Tabla4[[#This Row],[FECHA]]&gt;$B$1,1,""),"")</f>
        <v/>
      </c>
      <c r="D1304" s="41"/>
      <c r="E1304" s="41"/>
    </row>
    <row r="1305" spans="3:5" x14ac:dyDescent="0.25">
      <c r="C1305" s="51" t="str">
        <f>+IFERROR(IF(Tabla4[[#This Row],[FECHA]]&gt;$B$1,1,""),"")</f>
        <v/>
      </c>
      <c r="D1305" s="41"/>
      <c r="E1305" s="41"/>
    </row>
    <row r="1306" spans="3:5" x14ac:dyDescent="0.25">
      <c r="C1306" s="51" t="str">
        <f>+IFERROR(IF(Tabla4[[#This Row],[FECHA]]&gt;$B$1,1,""),"")</f>
        <v/>
      </c>
      <c r="D1306" s="41"/>
      <c r="E1306" s="41"/>
    </row>
    <row r="1307" spans="3:5" x14ac:dyDescent="0.25">
      <c r="C1307" s="51" t="str">
        <f>+IFERROR(IF(Tabla4[[#This Row],[FECHA]]&gt;$B$1,1,""),"")</f>
        <v/>
      </c>
      <c r="D1307" s="41"/>
      <c r="E1307" s="41"/>
    </row>
    <row r="1308" spans="3:5" x14ac:dyDescent="0.25">
      <c r="C1308" s="51" t="str">
        <f>+IFERROR(IF(Tabla4[[#This Row],[FECHA]]&gt;$B$1,1,""),"")</f>
        <v/>
      </c>
      <c r="D1308" s="41"/>
      <c r="E1308" s="41"/>
    </row>
    <row r="1309" spans="3:5" x14ac:dyDescent="0.25">
      <c r="C1309" s="51" t="str">
        <f>+IFERROR(IF(Tabla4[[#This Row],[FECHA]]&gt;$B$1,1,""),"")</f>
        <v/>
      </c>
      <c r="D1309" s="41"/>
      <c r="E1309" s="41"/>
    </row>
    <row r="1310" spans="3:5" x14ac:dyDescent="0.25">
      <c r="C1310" s="51" t="str">
        <f>+IFERROR(IF(Tabla4[[#This Row],[FECHA]]&gt;$B$1,1,""),"")</f>
        <v/>
      </c>
      <c r="D1310" s="41"/>
      <c r="E1310" s="41"/>
    </row>
    <row r="1311" spans="3:5" x14ac:dyDescent="0.25">
      <c r="C1311" s="51" t="str">
        <f>+IFERROR(IF(Tabla4[[#This Row],[FECHA]]&gt;$B$1,1,""),"")</f>
        <v/>
      </c>
      <c r="D1311" s="41"/>
      <c r="E1311" s="41"/>
    </row>
    <row r="1312" spans="3:5" x14ac:dyDescent="0.25">
      <c r="C1312" s="51" t="str">
        <f>+IFERROR(IF(Tabla4[[#This Row],[FECHA]]&gt;$B$1,1,""),"")</f>
        <v/>
      </c>
      <c r="D1312" s="41"/>
      <c r="E1312" s="41"/>
    </row>
    <row r="1313" spans="3:3" x14ac:dyDescent="0.25">
      <c r="C1313" s="51" t="str">
        <f>+IFERROR(IF(Tabla4[[#This Row],[FECHA]]&gt;$B$1,1,""),"")</f>
        <v/>
      </c>
    </row>
    <row r="1314" spans="3:3" x14ac:dyDescent="0.25">
      <c r="C1314" s="51" t="str">
        <f>+IFERROR(IF(Tabla4[[#This Row],[FECHA]]&gt;$B$1,1,""),"")</f>
        <v/>
      </c>
    </row>
    <row r="1315" spans="3:3" x14ac:dyDescent="0.25">
      <c r="C1315" s="51" t="str">
        <f>+IFERROR(IF(Tabla4[[#This Row],[FECHA]]&gt;$B$1,1,""),"")</f>
        <v/>
      </c>
    </row>
    <row r="1316" spans="3:3" x14ac:dyDescent="0.25">
      <c r="C1316" s="51" t="str">
        <f>+IFERROR(IF(Tabla4[[#This Row],[FECHA]]&gt;$B$1,1,""),"")</f>
        <v/>
      </c>
    </row>
    <row r="1317" spans="3:3" x14ac:dyDescent="0.25">
      <c r="C1317" s="51" t="str">
        <f>+IFERROR(IF(Tabla4[[#This Row],[FECHA]]&gt;$B$1,1,""),"")</f>
        <v/>
      </c>
    </row>
    <row r="1318" spans="3:3" x14ac:dyDescent="0.25">
      <c r="C1318" s="51" t="str">
        <f>+IFERROR(IF(Tabla4[[#This Row],[FECHA]]&gt;$B$1,1,""),"")</f>
        <v/>
      </c>
    </row>
    <row r="1319" spans="3:3" x14ac:dyDescent="0.25">
      <c r="C1319" s="51" t="str">
        <f>+IFERROR(IF(Tabla4[[#This Row],[FECHA]]&gt;$B$1,1,""),"")</f>
        <v/>
      </c>
    </row>
    <row r="1320" spans="3:3" x14ac:dyDescent="0.25">
      <c r="C1320" s="51" t="str">
        <f>+IFERROR(IF(Tabla4[[#This Row],[FECHA]]&gt;$B$1,1,""),"")</f>
        <v/>
      </c>
    </row>
    <row r="1321" spans="3:3" x14ac:dyDescent="0.25">
      <c r="C1321" s="51" t="str">
        <f>+IFERROR(IF(Tabla4[[#This Row],[FECHA]]&gt;$B$1,1,""),"")</f>
        <v/>
      </c>
    </row>
    <row r="1322" spans="3:3" x14ac:dyDescent="0.25">
      <c r="C1322" s="51" t="str">
        <f>+IFERROR(IF(Tabla4[[#This Row],[FECHA]]&gt;$B$1,1,""),"")</f>
        <v/>
      </c>
    </row>
    <row r="1323" spans="3:3" x14ac:dyDescent="0.25">
      <c r="C1323" s="51" t="str">
        <f>+IFERROR(IF(Tabla4[[#This Row],[FECHA]]&gt;$B$1,1,""),"")</f>
        <v/>
      </c>
    </row>
    <row r="1324" spans="3:3" x14ac:dyDescent="0.25">
      <c r="C1324" s="51" t="str">
        <f>+IFERROR(IF(Tabla4[[#This Row],[FECHA]]&gt;$B$1,1,""),"")</f>
        <v/>
      </c>
    </row>
    <row r="1325" spans="3:3" x14ac:dyDescent="0.25">
      <c r="C1325" s="51" t="str">
        <f>+IFERROR(IF(Tabla4[[#This Row],[FECHA]]&gt;$B$1,1,""),"")</f>
        <v/>
      </c>
    </row>
    <row r="1326" spans="3:3" x14ac:dyDescent="0.25">
      <c r="C1326" s="51" t="str">
        <f>+IFERROR(IF(Tabla4[[#This Row],[FECHA]]&gt;$B$1,1,""),"")</f>
        <v/>
      </c>
    </row>
    <row r="1327" spans="3:3" x14ac:dyDescent="0.25">
      <c r="C1327" s="51" t="str">
        <f>+IFERROR(IF(Tabla4[[#This Row],[FECHA]]&gt;$B$1,1,""),"")</f>
        <v/>
      </c>
    </row>
    <row r="1328" spans="3:3" x14ac:dyDescent="0.25">
      <c r="C1328" s="51" t="str">
        <f>+IFERROR(IF(Tabla4[[#This Row],[FECHA]]&gt;$B$1,1,""),"")</f>
        <v/>
      </c>
    </row>
    <row r="1329" spans="3:3" x14ac:dyDescent="0.25">
      <c r="C1329" s="51" t="str">
        <f>+IFERROR(IF(Tabla4[[#This Row],[FECHA]]&gt;$B$1,1,""),"")</f>
        <v/>
      </c>
    </row>
    <row r="1330" spans="3:3" x14ac:dyDescent="0.25">
      <c r="C1330" s="51" t="str">
        <f>+IFERROR(IF(Tabla4[[#This Row],[FECHA]]&gt;$B$1,1,""),"")</f>
        <v/>
      </c>
    </row>
    <row r="1331" spans="3:3" x14ac:dyDescent="0.25">
      <c r="C1331" s="51" t="str">
        <f>+IFERROR(IF(Tabla4[[#This Row],[FECHA]]&gt;$B$1,1,""),"")</f>
        <v/>
      </c>
    </row>
    <row r="1332" spans="3:3" x14ac:dyDescent="0.25">
      <c r="C1332" s="51" t="str">
        <f>+IFERROR(IF(Tabla4[[#This Row],[FECHA]]&gt;$B$1,1,""),"")</f>
        <v/>
      </c>
    </row>
    <row r="1333" spans="3:3" x14ac:dyDescent="0.25">
      <c r="C1333" s="51" t="str">
        <f>+IFERROR(IF(Tabla4[[#This Row],[FECHA]]&gt;$B$1,1,""),"")</f>
        <v/>
      </c>
    </row>
    <row r="1334" spans="3:3" x14ac:dyDescent="0.25">
      <c r="C1334" s="51" t="str">
        <f>+IFERROR(IF(Tabla4[[#This Row],[FECHA]]&gt;$B$1,1,""),"")</f>
        <v/>
      </c>
    </row>
    <row r="1335" spans="3:3" x14ac:dyDescent="0.25">
      <c r="C1335" s="51" t="str">
        <f>+IFERROR(IF(Tabla4[[#This Row],[FECHA]]&gt;$B$1,1,""),"")</f>
        <v/>
      </c>
    </row>
    <row r="1336" spans="3:3" x14ac:dyDescent="0.25">
      <c r="C1336" s="51" t="str">
        <f>+IFERROR(IF(Tabla4[[#This Row],[FECHA]]&gt;$B$1,1,""),"")</f>
        <v/>
      </c>
    </row>
    <row r="1337" spans="3:3" x14ac:dyDescent="0.25">
      <c r="C1337" s="51" t="str">
        <f>+IFERROR(IF(Tabla4[[#This Row],[FECHA]]&gt;$B$1,1,""),"")</f>
        <v/>
      </c>
    </row>
    <row r="1338" spans="3:3" x14ac:dyDescent="0.25">
      <c r="C1338" s="51" t="str">
        <f>+IFERROR(IF(Tabla4[[#This Row],[FECHA]]&gt;$B$1,1,""),"")</f>
        <v/>
      </c>
    </row>
    <row r="1339" spans="3:3" x14ac:dyDescent="0.25">
      <c r="C1339" s="51" t="str">
        <f>+IFERROR(IF(Tabla4[[#This Row],[FECHA]]&gt;$B$1,1,""),"")</f>
        <v/>
      </c>
    </row>
    <row r="1340" spans="3:3" x14ac:dyDescent="0.25">
      <c r="C1340" s="51" t="str">
        <f>+IFERROR(IF(Tabla4[[#This Row],[FECHA]]&gt;$B$1,1,""),"")</f>
        <v/>
      </c>
    </row>
    <row r="1341" spans="3:3" x14ac:dyDescent="0.25">
      <c r="C1341" s="51" t="str">
        <f>+IFERROR(IF(Tabla4[[#This Row],[FECHA]]&gt;$B$1,1,""),"")</f>
        <v/>
      </c>
    </row>
    <row r="1342" spans="3:3" x14ac:dyDescent="0.25">
      <c r="C1342" s="51" t="str">
        <f>+IFERROR(IF(Tabla4[[#This Row],[FECHA]]&gt;$B$1,1,""),"")</f>
        <v/>
      </c>
    </row>
    <row r="1343" spans="3:3" x14ac:dyDescent="0.25">
      <c r="C1343" s="51" t="str">
        <f>+IFERROR(IF(Tabla4[[#This Row],[FECHA]]&gt;$B$1,1,""),"")</f>
        <v/>
      </c>
    </row>
    <row r="1344" spans="3:3" x14ac:dyDescent="0.25">
      <c r="C1344" s="51" t="str">
        <f>+IFERROR(IF(Tabla4[[#This Row],[FECHA]]&gt;$B$1,1,""),"")</f>
        <v/>
      </c>
    </row>
    <row r="1345" spans="3:3" x14ac:dyDescent="0.25">
      <c r="C1345" s="51" t="str">
        <f>+IFERROR(IF(Tabla4[[#This Row],[FECHA]]&gt;$B$1,1,""),"")</f>
        <v/>
      </c>
    </row>
    <row r="1346" spans="3:3" x14ac:dyDescent="0.25">
      <c r="C1346" s="51" t="str">
        <f>+IFERROR(IF(Tabla4[[#This Row],[FECHA]]&gt;$B$1,1,""),"")</f>
        <v/>
      </c>
    </row>
    <row r="1347" spans="3:3" x14ac:dyDescent="0.25">
      <c r="C1347" s="51" t="str">
        <f>+IFERROR(IF(Tabla4[[#This Row],[FECHA]]&gt;$B$1,1,""),"")</f>
        <v/>
      </c>
    </row>
    <row r="1348" spans="3:3" x14ac:dyDescent="0.25">
      <c r="C1348" s="51" t="str">
        <f>+IFERROR(IF(Tabla4[[#This Row],[FECHA]]&gt;$B$1,1,""),"")</f>
        <v/>
      </c>
    </row>
    <row r="1349" spans="3:3" x14ac:dyDescent="0.25">
      <c r="C1349" s="51" t="str">
        <f>+IFERROR(IF(Tabla4[[#This Row],[FECHA]]&gt;$B$1,1,""),"")</f>
        <v/>
      </c>
    </row>
    <row r="1350" spans="3:3" x14ac:dyDescent="0.25">
      <c r="C1350" s="51" t="str">
        <f>+IFERROR(IF(Tabla4[[#This Row],[FECHA]]&gt;$B$1,1,""),"")</f>
        <v/>
      </c>
    </row>
    <row r="1351" spans="3:3" x14ac:dyDescent="0.25">
      <c r="C1351" s="51" t="str">
        <f>+IFERROR(IF(Tabla4[[#This Row],[FECHA]]&gt;$B$1,1,""),"")</f>
        <v/>
      </c>
    </row>
    <row r="1352" spans="3:3" x14ac:dyDescent="0.25">
      <c r="C1352" s="51" t="str">
        <f>+IFERROR(IF(Tabla4[[#This Row],[FECHA]]&gt;$B$1,1,""),"")</f>
        <v/>
      </c>
    </row>
    <row r="1353" spans="3:3" x14ac:dyDescent="0.25">
      <c r="C1353" s="51" t="str">
        <f>+IFERROR(IF(Tabla4[[#This Row],[FECHA]]&gt;$B$1,1,""),"")</f>
        <v/>
      </c>
    </row>
    <row r="1354" spans="3:3" x14ac:dyDescent="0.25">
      <c r="C1354" s="51" t="str">
        <f>+IFERROR(IF(Tabla4[[#This Row],[FECHA]]&gt;$B$1,1,""),"")</f>
        <v/>
      </c>
    </row>
    <row r="1355" spans="3:3" x14ac:dyDescent="0.25">
      <c r="C1355" s="51" t="str">
        <f>+IFERROR(IF(Tabla4[[#This Row],[FECHA]]&gt;$B$1,1,""),"")</f>
        <v/>
      </c>
    </row>
    <row r="1356" spans="3:3" x14ac:dyDescent="0.25">
      <c r="C1356" s="51" t="str">
        <f>+IFERROR(IF(Tabla4[[#This Row],[FECHA]]&gt;$B$1,1,""),"")</f>
        <v/>
      </c>
    </row>
    <row r="1357" spans="3:3" x14ac:dyDescent="0.25">
      <c r="C1357" s="51" t="str">
        <f>+IFERROR(IF(Tabla4[[#This Row],[FECHA]]&gt;$B$1,1,""),"")</f>
        <v/>
      </c>
    </row>
    <row r="1358" spans="3:3" x14ac:dyDescent="0.25">
      <c r="C1358" s="51" t="str">
        <f>+IFERROR(IF(Tabla4[[#This Row],[FECHA]]&gt;$B$1,1,""),"")</f>
        <v/>
      </c>
    </row>
    <row r="1359" spans="3:3" x14ac:dyDescent="0.25">
      <c r="C1359" s="51" t="str">
        <f>+IFERROR(IF(Tabla4[[#This Row],[FECHA]]&gt;$B$1,1,""),"")</f>
        <v/>
      </c>
    </row>
    <row r="1360" spans="3:3" x14ac:dyDescent="0.25">
      <c r="C1360" s="51" t="str">
        <f>+IFERROR(IF(Tabla4[[#This Row],[FECHA]]&gt;$B$1,1,""),"")</f>
        <v/>
      </c>
    </row>
    <row r="1361" spans="3:3" x14ac:dyDescent="0.25">
      <c r="C1361" s="51" t="str">
        <f>+IFERROR(IF(Tabla4[[#This Row],[FECHA]]&gt;$B$1,1,""),"")</f>
        <v/>
      </c>
    </row>
    <row r="1362" spans="3:3" x14ac:dyDescent="0.25">
      <c r="C1362" s="51" t="str">
        <f>+IFERROR(IF(Tabla4[[#This Row],[FECHA]]&gt;$B$1,1,""),"")</f>
        <v/>
      </c>
    </row>
    <row r="1363" spans="3:3" x14ac:dyDescent="0.25">
      <c r="C1363" s="51" t="str">
        <f>+IFERROR(IF(Tabla4[[#This Row],[FECHA]]&gt;$B$1,1,""),"")</f>
        <v/>
      </c>
    </row>
    <row r="1364" spans="3:3" x14ac:dyDescent="0.25">
      <c r="C1364" s="51" t="str">
        <f>+IFERROR(IF(Tabla4[[#This Row],[FECHA]]&gt;$B$1,1,""),"")</f>
        <v/>
      </c>
    </row>
    <row r="1365" spans="3:3" x14ac:dyDescent="0.25">
      <c r="C1365" s="51" t="str">
        <f>+IFERROR(IF(Tabla4[[#This Row],[FECHA]]&gt;$B$1,1,""),"")</f>
        <v/>
      </c>
    </row>
    <row r="1366" spans="3:3" x14ac:dyDescent="0.25">
      <c r="C1366" s="51" t="str">
        <f>+IFERROR(IF(Tabla4[[#This Row],[FECHA]]&gt;$B$1,1,""),"")</f>
        <v/>
      </c>
    </row>
    <row r="1367" spans="3:3" x14ac:dyDescent="0.25">
      <c r="C1367" s="51" t="str">
        <f>+IFERROR(IF(Tabla4[[#This Row],[FECHA]]&gt;$B$1,1,""),"")</f>
        <v/>
      </c>
    </row>
    <row r="1368" spans="3:3" x14ac:dyDescent="0.25">
      <c r="C1368" s="51" t="str">
        <f>+IFERROR(IF(Tabla4[[#This Row],[FECHA]]&gt;$B$1,1,""),"")</f>
        <v/>
      </c>
    </row>
    <row r="1369" spans="3:3" x14ac:dyDescent="0.25">
      <c r="C1369" s="51" t="str">
        <f>+IFERROR(IF(Tabla4[[#This Row],[FECHA]]&gt;$B$1,1,""),"")</f>
        <v/>
      </c>
    </row>
    <row r="1370" spans="3:3" x14ac:dyDescent="0.25">
      <c r="C1370" s="51" t="str">
        <f>+IFERROR(IF(Tabla4[[#This Row],[FECHA]]&gt;$B$1,1,""),"")</f>
        <v/>
      </c>
    </row>
    <row r="1371" spans="3:3" x14ac:dyDescent="0.25">
      <c r="C1371" s="51" t="str">
        <f>+IFERROR(IF(Tabla4[[#This Row],[FECHA]]&gt;$B$1,1,""),"")</f>
        <v/>
      </c>
    </row>
    <row r="1372" spans="3:3" x14ac:dyDescent="0.25">
      <c r="C1372" s="51" t="str">
        <f>+IFERROR(IF(Tabla4[[#This Row],[FECHA]]&gt;$B$1,1,""),"")</f>
        <v/>
      </c>
    </row>
    <row r="1373" spans="3:3" x14ac:dyDescent="0.25">
      <c r="C1373" s="51" t="str">
        <f>+IFERROR(IF(Tabla4[[#This Row],[FECHA]]&gt;$B$1,1,""),"")</f>
        <v/>
      </c>
    </row>
    <row r="1374" spans="3:3" x14ac:dyDescent="0.25">
      <c r="C1374" s="51" t="str">
        <f>+IFERROR(IF(Tabla4[[#This Row],[FECHA]]&gt;$B$1,1,""),"")</f>
        <v/>
      </c>
    </row>
    <row r="1375" spans="3:3" x14ac:dyDescent="0.25">
      <c r="C1375" s="51" t="str">
        <f>+IFERROR(IF(Tabla4[[#This Row],[FECHA]]&gt;$B$1,1,""),"")</f>
        <v/>
      </c>
    </row>
    <row r="1376" spans="3:3" x14ac:dyDescent="0.25">
      <c r="C1376" s="51" t="str">
        <f>+IFERROR(IF(Tabla4[[#This Row],[FECHA]]&gt;$B$1,1,""),"")</f>
        <v/>
      </c>
    </row>
    <row r="1377" spans="3:3" x14ac:dyDescent="0.25">
      <c r="C1377" s="51" t="str">
        <f>+IFERROR(IF(Tabla4[[#This Row],[FECHA]]&gt;$B$1,1,""),"")</f>
        <v/>
      </c>
    </row>
    <row r="1378" spans="3:3" x14ac:dyDescent="0.25">
      <c r="C1378" s="51" t="str">
        <f>+IFERROR(IF(Tabla4[[#This Row],[FECHA]]&gt;$B$1,1,""),"")</f>
        <v/>
      </c>
    </row>
    <row r="1379" spans="3:3" x14ac:dyDescent="0.25">
      <c r="C1379" s="51" t="str">
        <f>+IFERROR(IF(Tabla4[[#This Row],[FECHA]]&gt;$B$1,1,""),"")</f>
        <v/>
      </c>
    </row>
    <row r="1380" spans="3:3" x14ac:dyDescent="0.25">
      <c r="C1380" s="51" t="str">
        <f>+IFERROR(IF(Tabla4[[#This Row],[FECHA]]&gt;$B$1,1,""),"")</f>
        <v/>
      </c>
    </row>
    <row r="1381" spans="3:3" x14ac:dyDescent="0.25">
      <c r="C1381" s="51" t="str">
        <f>+IFERROR(IF(Tabla4[[#This Row],[FECHA]]&gt;$B$1,1,""),"")</f>
        <v/>
      </c>
    </row>
    <row r="1382" spans="3:3" x14ac:dyDescent="0.25">
      <c r="C1382" s="51" t="str">
        <f>+IFERROR(IF(Tabla4[[#This Row],[FECHA]]&gt;$B$1,1,""),"")</f>
        <v/>
      </c>
    </row>
    <row r="1383" spans="3:3" x14ac:dyDescent="0.25">
      <c r="C1383" s="51" t="str">
        <f>+IFERROR(IF(Tabla4[[#This Row],[FECHA]]&gt;$B$1,1,""),"")</f>
        <v/>
      </c>
    </row>
    <row r="1384" spans="3:3" x14ac:dyDescent="0.25">
      <c r="C1384" s="51" t="str">
        <f>+IFERROR(IF(Tabla4[[#This Row],[FECHA]]&gt;$B$1,1,""),"")</f>
        <v/>
      </c>
    </row>
    <row r="1385" spans="3:3" x14ac:dyDescent="0.25">
      <c r="C1385" s="51" t="str">
        <f>+IFERROR(IF(Tabla4[[#This Row],[FECHA]]&gt;$B$1,1,""),"")</f>
        <v/>
      </c>
    </row>
    <row r="1386" spans="3:3" x14ac:dyDescent="0.25">
      <c r="C1386" s="51" t="str">
        <f>+IFERROR(IF(Tabla4[[#This Row],[FECHA]]&gt;$B$1,1,""),"")</f>
        <v/>
      </c>
    </row>
    <row r="1387" spans="3:3" x14ac:dyDescent="0.25">
      <c r="C1387" s="51" t="str">
        <f>+IFERROR(IF(Tabla4[[#This Row],[FECHA]]&gt;$B$1,1,""),"")</f>
        <v/>
      </c>
    </row>
    <row r="1388" spans="3:3" x14ac:dyDescent="0.25">
      <c r="C1388" s="51" t="str">
        <f>+IFERROR(IF(Tabla4[[#This Row],[FECHA]]&gt;$B$1,1,""),"")</f>
        <v/>
      </c>
    </row>
    <row r="1389" spans="3:3" x14ac:dyDescent="0.25">
      <c r="C1389" s="51" t="str">
        <f>+IFERROR(IF(Tabla4[[#This Row],[FECHA]]&gt;$B$1,1,""),"")</f>
        <v/>
      </c>
    </row>
    <row r="1390" spans="3:3" x14ac:dyDescent="0.25">
      <c r="C1390" s="51" t="str">
        <f>+IFERROR(IF(Tabla4[[#This Row],[FECHA]]&gt;$B$1,1,""),"")</f>
        <v/>
      </c>
    </row>
    <row r="1391" spans="3:3" x14ac:dyDescent="0.25">
      <c r="C1391" s="51" t="str">
        <f>+IFERROR(IF(Tabla4[[#This Row],[FECHA]]&gt;$B$1,1,""),"")</f>
        <v/>
      </c>
    </row>
    <row r="1392" spans="3:3" x14ac:dyDescent="0.25">
      <c r="C1392" s="51" t="str">
        <f>+IFERROR(IF(Tabla4[[#This Row],[FECHA]]&gt;$B$1,1,""),"")</f>
        <v/>
      </c>
    </row>
    <row r="1393" spans="3:3" x14ac:dyDescent="0.25">
      <c r="C1393" s="51" t="str">
        <f>+IFERROR(IF(Tabla4[[#This Row],[FECHA]]&gt;$B$1,1,""),"")</f>
        <v/>
      </c>
    </row>
    <row r="1394" spans="3:3" x14ac:dyDescent="0.25">
      <c r="C1394" s="51" t="str">
        <f>+IFERROR(IF(Tabla4[[#This Row],[FECHA]]&gt;$B$1,1,""),"")</f>
        <v/>
      </c>
    </row>
    <row r="1395" spans="3:3" x14ac:dyDescent="0.25">
      <c r="C1395" s="51" t="str">
        <f>+IFERROR(IF(Tabla4[[#This Row],[FECHA]]&gt;$B$1,1,""),"")</f>
        <v/>
      </c>
    </row>
    <row r="1396" spans="3:3" x14ac:dyDescent="0.25">
      <c r="C1396" s="51" t="str">
        <f>+IFERROR(IF(Tabla4[[#This Row],[FECHA]]&gt;$B$1,1,""),"")</f>
        <v/>
      </c>
    </row>
    <row r="1397" spans="3:3" x14ac:dyDescent="0.25">
      <c r="C1397" s="51" t="str">
        <f>+IFERROR(IF(Tabla4[[#This Row],[FECHA]]&gt;$B$1,1,""),"")</f>
        <v/>
      </c>
    </row>
    <row r="1398" spans="3:3" x14ac:dyDescent="0.25">
      <c r="C1398" s="51" t="str">
        <f>+IFERROR(IF(Tabla4[[#This Row],[FECHA]]&gt;$B$1,1,""),"")</f>
        <v/>
      </c>
    </row>
    <row r="1399" spans="3:3" x14ac:dyDescent="0.25">
      <c r="C1399" s="51" t="str">
        <f>+IFERROR(IF(Tabla4[[#This Row],[FECHA]]&gt;$B$1,1,""),"")</f>
        <v/>
      </c>
    </row>
    <row r="1400" spans="3:3" x14ac:dyDescent="0.25">
      <c r="C1400" s="51" t="str">
        <f>+IFERROR(IF(Tabla4[[#This Row],[FECHA]]&gt;$B$1,1,""),"")</f>
        <v/>
      </c>
    </row>
    <row r="1401" spans="3:3" x14ac:dyDescent="0.25">
      <c r="C1401" s="51" t="str">
        <f>+IFERROR(IF(Tabla4[[#This Row],[FECHA]]&gt;$B$1,1,""),"")</f>
        <v/>
      </c>
    </row>
    <row r="1402" spans="3:3" x14ac:dyDescent="0.25">
      <c r="C1402" s="51" t="str">
        <f>+IFERROR(IF(Tabla4[[#This Row],[FECHA]]&gt;$B$1,1,""),"")</f>
        <v/>
      </c>
    </row>
    <row r="1403" spans="3:3" x14ac:dyDescent="0.25">
      <c r="C1403" s="51" t="str">
        <f>+IFERROR(IF(Tabla4[[#This Row],[FECHA]]&gt;$B$1,1,""),"")</f>
        <v/>
      </c>
    </row>
    <row r="1404" spans="3:3" x14ac:dyDescent="0.25">
      <c r="C1404" s="51" t="str">
        <f>+IFERROR(IF(Tabla4[[#This Row],[FECHA]]&gt;$B$1,1,""),"")</f>
        <v/>
      </c>
    </row>
    <row r="1405" spans="3:3" x14ac:dyDescent="0.25">
      <c r="C1405" s="51" t="str">
        <f>+IFERROR(IF(Tabla4[[#This Row],[FECHA]]&gt;$B$1,1,""),"")</f>
        <v/>
      </c>
    </row>
    <row r="1406" spans="3:3" x14ac:dyDescent="0.25">
      <c r="C1406" s="51" t="str">
        <f>+IFERROR(IF(Tabla4[[#This Row],[FECHA]]&gt;$B$1,1,""),"")</f>
        <v/>
      </c>
    </row>
    <row r="1407" spans="3:3" x14ac:dyDescent="0.25">
      <c r="C1407" s="51" t="str">
        <f>+IFERROR(IF(Tabla4[[#This Row],[FECHA]]&gt;$B$1,1,""),"")</f>
        <v/>
      </c>
    </row>
    <row r="1408" spans="3:3" x14ac:dyDescent="0.25">
      <c r="C1408" s="51" t="str">
        <f>+IFERROR(IF(Tabla4[[#This Row],[FECHA]]&gt;$B$1,1,""),"")</f>
        <v/>
      </c>
    </row>
    <row r="1409" spans="3:3" x14ac:dyDescent="0.25">
      <c r="C1409" s="51" t="str">
        <f>+IFERROR(IF(Tabla4[[#This Row],[FECHA]]&gt;$B$1,1,""),"")</f>
        <v/>
      </c>
    </row>
    <row r="1410" spans="3:3" x14ac:dyDescent="0.25">
      <c r="C1410" s="51" t="str">
        <f>+IFERROR(IF(Tabla4[[#This Row],[FECHA]]&gt;$B$1,1,""),"")</f>
        <v/>
      </c>
    </row>
    <row r="1411" spans="3:3" x14ac:dyDescent="0.25">
      <c r="C1411" s="51" t="str">
        <f>+IFERROR(IF(Tabla4[[#This Row],[FECHA]]&gt;$B$1,1,""),"")</f>
        <v/>
      </c>
    </row>
    <row r="1412" spans="3:3" x14ac:dyDescent="0.25">
      <c r="C1412" s="51" t="str">
        <f>+IFERROR(IF(Tabla4[[#This Row],[FECHA]]&gt;$B$1,1,""),"")</f>
        <v/>
      </c>
    </row>
    <row r="1413" spans="3:3" x14ac:dyDescent="0.25">
      <c r="C1413" s="51" t="str">
        <f>+IFERROR(IF(Tabla4[[#This Row],[FECHA]]&gt;$B$1,1,""),"")</f>
        <v/>
      </c>
    </row>
    <row r="1414" spans="3:3" x14ac:dyDescent="0.25">
      <c r="C1414" s="51" t="str">
        <f>+IFERROR(IF(Tabla4[[#This Row],[FECHA]]&gt;$B$1,1,""),"")</f>
        <v/>
      </c>
    </row>
    <row r="1415" spans="3:3" x14ac:dyDescent="0.25">
      <c r="C1415" s="51" t="str">
        <f>+IFERROR(IF(Tabla4[[#This Row],[FECHA]]&gt;$B$1,1,""),"")</f>
        <v/>
      </c>
    </row>
    <row r="1416" spans="3:3" x14ac:dyDescent="0.25">
      <c r="C1416" s="51" t="str">
        <f>+IFERROR(IF(Tabla4[[#This Row],[FECHA]]&gt;$B$1,1,""),"")</f>
        <v/>
      </c>
    </row>
    <row r="1417" spans="3:3" x14ac:dyDescent="0.25">
      <c r="C1417" s="51" t="str">
        <f>+IFERROR(IF(Tabla4[[#This Row],[FECHA]]&gt;$B$1,1,""),"")</f>
        <v/>
      </c>
    </row>
    <row r="1418" spans="3:3" x14ac:dyDescent="0.25">
      <c r="C1418" s="51" t="str">
        <f>+IFERROR(IF(Tabla4[[#This Row],[FECHA]]&gt;$B$1,1,""),"")</f>
        <v/>
      </c>
    </row>
    <row r="1419" spans="3:3" x14ac:dyDescent="0.25">
      <c r="C1419" s="51" t="str">
        <f>+IFERROR(IF(Tabla4[[#This Row],[FECHA]]&gt;$B$1,1,""),"")</f>
        <v/>
      </c>
    </row>
    <row r="1420" spans="3:3" x14ac:dyDescent="0.25">
      <c r="C1420" s="51" t="str">
        <f>+IFERROR(IF(Tabla4[[#This Row],[FECHA]]&gt;$B$1,1,""),"")</f>
        <v/>
      </c>
    </row>
    <row r="1421" spans="3:3" x14ac:dyDescent="0.25">
      <c r="C1421" s="51" t="str">
        <f>+IFERROR(IF(Tabla4[[#This Row],[FECHA]]&gt;$B$1,1,""),"")</f>
        <v/>
      </c>
    </row>
    <row r="1422" spans="3:3" x14ac:dyDescent="0.25">
      <c r="C1422" s="51" t="str">
        <f>+IFERROR(IF(Tabla4[[#This Row],[FECHA]]&gt;$B$1,1,""),"")</f>
        <v/>
      </c>
    </row>
    <row r="1423" spans="3:3" x14ac:dyDescent="0.25">
      <c r="C1423" s="51" t="str">
        <f>+IFERROR(IF(Tabla4[[#This Row],[FECHA]]&gt;$B$1,1,""),"")</f>
        <v/>
      </c>
    </row>
    <row r="1424" spans="3:3" x14ac:dyDescent="0.25">
      <c r="C1424" s="51" t="str">
        <f>+IFERROR(IF(Tabla4[[#This Row],[FECHA]]&gt;$B$1,1,""),"")</f>
        <v/>
      </c>
    </row>
    <row r="1425" spans="3:3" x14ac:dyDescent="0.25">
      <c r="C1425" s="51" t="str">
        <f>+IFERROR(IF(Tabla4[[#This Row],[FECHA]]&gt;$B$1,1,""),"")</f>
        <v/>
      </c>
    </row>
    <row r="1426" spans="3:3" x14ac:dyDescent="0.25">
      <c r="C1426" s="51" t="str">
        <f>+IFERROR(IF(Tabla4[[#This Row],[FECHA]]&gt;$B$1,1,""),"")</f>
        <v/>
      </c>
    </row>
    <row r="1427" spans="3:3" x14ac:dyDescent="0.25">
      <c r="C1427" s="51" t="str">
        <f>+IFERROR(IF(Tabla4[[#This Row],[FECHA]]&gt;$B$1,1,""),"")</f>
        <v/>
      </c>
    </row>
    <row r="1428" spans="3:3" x14ac:dyDescent="0.25">
      <c r="C1428" s="51" t="str">
        <f>+IFERROR(IF(Tabla4[[#This Row],[FECHA]]&gt;$B$1,1,""),"")</f>
        <v/>
      </c>
    </row>
    <row r="1429" spans="3:3" x14ac:dyDescent="0.25">
      <c r="C1429" s="51" t="str">
        <f>+IFERROR(IF(Tabla4[[#This Row],[FECHA]]&gt;$B$1,1,""),"")</f>
        <v/>
      </c>
    </row>
    <row r="1430" spans="3:3" x14ac:dyDescent="0.25">
      <c r="C1430" s="51" t="str">
        <f>+IFERROR(IF(Tabla4[[#This Row],[FECHA]]&gt;$B$1,1,""),"")</f>
        <v/>
      </c>
    </row>
    <row r="1431" spans="3:3" x14ac:dyDescent="0.25">
      <c r="C1431" s="51" t="str">
        <f>+IFERROR(IF(Tabla4[[#This Row],[FECHA]]&gt;$B$1,1,""),"")</f>
        <v/>
      </c>
    </row>
    <row r="1432" spans="3:3" x14ac:dyDescent="0.25">
      <c r="C1432" s="51" t="str">
        <f>+IFERROR(IF(Tabla4[[#This Row],[FECHA]]&gt;$B$1,1,""),"")</f>
        <v/>
      </c>
    </row>
    <row r="1433" spans="3:3" x14ac:dyDescent="0.25">
      <c r="C1433" s="51" t="str">
        <f>+IFERROR(IF(Tabla4[[#This Row],[FECHA]]&gt;$B$1,1,""),"")</f>
        <v/>
      </c>
    </row>
    <row r="1434" spans="3:3" x14ac:dyDescent="0.25">
      <c r="C1434" s="51" t="str">
        <f>+IFERROR(IF(Tabla4[[#This Row],[FECHA]]&gt;$B$1,1,""),"")</f>
        <v/>
      </c>
    </row>
    <row r="1435" spans="3:3" x14ac:dyDescent="0.25">
      <c r="C1435" s="51" t="str">
        <f>+IFERROR(IF(Tabla4[[#This Row],[FECHA]]&gt;$B$1,1,""),"")</f>
        <v/>
      </c>
    </row>
    <row r="1436" spans="3:3" x14ac:dyDescent="0.25">
      <c r="C1436" s="51" t="str">
        <f>+IFERROR(IF(Tabla4[[#This Row],[FECHA]]&gt;$B$1,1,""),"")</f>
        <v/>
      </c>
    </row>
    <row r="1437" spans="3:3" x14ac:dyDescent="0.25">
      <c r="C1437" s="51" t="str">
        <f>+IFERROR(IF(Tabla4[[#This Row],[FECHA]]&gt;$B$1,1,""),"")</f>
        <v/>
      </c>
    </row>
    <row r="1438" spans="3:3" x14ac:dyDescent="0.25">
      <c r="C1438" s="51" t="str">
        <f>+IFERROR(IF(Tabla4[[#This Row],[FECHA]]&gt;$B$1,1,""),"")</f>
        <v/>
      </c>
    </row>
    <row r="1439" spans="3:3" x14ac:dyDescent="0.25">
      <c r="C1439" s="51" t="str">
        <f>+IFERROR(IF(Tabla4[[#This Row],[FECHA]]&gt;$B$1,1,""),"")</f>
        <v/>
      </c>
    </row>
    <row r="1440" spans="3:3" x14ac:dyDescent="0.25">
      <c r="C1440" s="51" t="str">
        <f>+IFERROR(IF(Tabla4[[#This Row],[FECHA]]&gt;$B$1,1,""),"")</f>
        <v/>
      </c>
    </row>
    <row r="1441" spans="3:3" x14ac:dyDescent="0.25">
      <c r="C1441" s="51" t="str">
        <f>+IFERROR(IF(Tabla4[[#This Row],[FECHA]]&gt;$B$1,1,""),"")</f>
        <v/>
      </c>
    </row>
    <row r="1442" spans="3:3" x14ac:dyDescent="0.25">
      <c r="C1442" s="51" t="str">
        <f>+IFERROR(IF(Tabla4[[#This Row],[FECHA]]&gt;$B$1,1,""),"")</f>
        <v/>
      </c>
    </row>
    <row r="1443" spans="3:3" x14ac:dyDescent="0.25">
      <c r="C1443" s="51" t="str">
        <f>+IFERROR(IF(Tabla4[[#This Row],[FECHA]]&gt;$B$1,1,""),"")</f>
        <v/>
      </c>
    </row>
    <row r="1444" spans="3:3" x14ac:dyDescent="0.25">
      <c r="C1444" s="51" t="str">
        <f>+IFERROR(IF(Tabla4[[#This Row],[FECHA]]&gt;$B$1,1,""),"")</f>
        <v/>
      </c>
    </row>
    <row r="1445" spans="3:3" x14ac:dyDescent="0.25">
      <c r="C1445" s="51" t="str">
        <f>+IFERROR(IF(Tabla4[[#This Row],[FECHA]]&gt;$B$1,1,""),"")</f>
        <v/>
      </c>
    </row>
    <row r="1446" spans="3:3" x14ac:dyDescent="0.25">
      <c r="C1446" s="51" t="str">
        <f>+IFERROR(IF(Tabla4[[#This Row],[FECHA]]&gt;$B$1,1,""),"")</f>
        <v/>
      </c>
    </row>
    <row r="1447" spans="3:3" x14ac:dyDescent="0.25">
      <c r="C1447" s="51" t="str">
        <f>+IFERROR(IF(Tabla4[[#This Row],[FECHA]]&gt;$B$1,1,""),"")</f>
        <v/>
      </c>
    </row>
    <row r="1448" spans="3:3" x14ac:dyDescent="0.25">
      <c r="C1448" s="51" t="str">
        <f>+IFERROR(IF(Tabla4[[#This Row],[FECHA]]&gt;$B$1,1,""),"")</f>
        <v/>
      </c>
    </row>
    <row r="1449" spans="3:3" x14ac:dyDescent="0.25">
      <c r="C1449" s="51" t="str">
        <f>+IFERROR(IF(Tabla4[[#This Row],[FECHA]]&gt;$B$1,1,""),"")</f>
        <v/>
      </c>
    </row>
    <row r="1450" spans="3:3" x14ac:dyDescent="0.25">
      <c r="C1450" s="51" t="str">
        <f>+IFERROR(IF(Tabla4[[#This Row],[FECHA]]&gt;$B$1,1,""),"")</f>
        <v/>
      </c>
    </row>
    <row r="1451" spans="3:3" x14ac:dyDescent="0.25">
      <c r="C1451" s="51" t="str">
        <f>+IFERROR(IF(Tabla4[[#This Row],[FECHA]]&gt;$B$1,1,""),"")</f>
        <v/>
      </c>
    </row>
    <row r="1452" spans="3:3" x14ac:dyDescent="0.25">
      <c r="C1452" s="51" t="str">
        <f>+IFERROR(IF(Tabla4[[#This Row],[FECHA]]&gt;$B$1,1,""),"")</f>
        <v/>
      </c>
    </row>
    <row r="1453" spans="3:3" x14ac:dyDescent="0.25">
      <c r="C1453" s="51" t="str">
        <f>+IFERROR(IF(Tabla4[[#This Row],[FECHA]]&gt;$B$1,1,""),"")</f>
        <v/>
      </c>
    </row>
    <row r="1454" spans="3:3" x14ac:dyDescent="0.25">
      <c r="C1454" s="51" t="str">
        <f>+IFERROR(IF(Tabla4[[#This Row],[FECHA]]&gt;$B$1,1,""),"")</f>
        <v/>
      </c>
    </row>
    <row r="1455" spans="3:3" x14ac:dyDescent="0.25">
      <c r="C1455" s="51" t="str">
        <f>+IFERROR(IF(Tabla4[[#This Row],[FECHA]]&gt;$B$1,1,""),"")</f>
        <v/>
      </c>
    </row>
    <row r="1456" spans="3:3" x14ac:dyDescent="0.25">
      <c r="C1456" s="51" t="str">
        <f>+IFERROR(IF(Tabla4[[#This Row],[FECHA]]&gt;$B$1,1,""),"")</f>
        <v/>
      </c>
    </row>
    <row r="1457" spans="3:3" x14ac:dyDescent="0.25">
      <c r="C1457" s="51" t="str">
        <f>+IFERROR(IF(Tabla4[[#This Row],[FECHA]]&gt;$B$1,1,""),"")</f>
        <v/>
      </c>
    </row>
    <row r="1458" spans="3:3" x14ac:dyDescent="0.25">
      <c r="C1458" s="51" t="str">
        <f>+IFERROR(IF(Tabla4[[#This Row],[FECHA]]&gt;$B$1,1,""),"")</f>
        <v/>
      </c>
    </row>
    <row r="1459" spans="3:3" x14ac:dyDescent="0.25">
      <c r="C1459" s="51" t="str">
        <f>+IFERROR(IF(Tabla4[[#This Row],[FECHA]]&gt;$B$1,1,""),"")</f>
        <v/>
      </c>
    </row>
    <row r="1460" spans="3:3" x14ac:dyDescent="0.25">
      <c r="C1460" s="51" t="str">
        <f>+IFERROR(IF(Tabla4[[#This Row],[FECHA]]&gt;$B$1,1,""),"")</f>
        <v/>
      </c>
    </row>
    <row r="1461" spans="3:3" x14ac:dyDescent="0.25">
      <c r="C1461" s="51" t="str">
        <f>+IFERROR(IF(Tabla4[[#This Row],[FECHA]]&gt;$B$1,1,""),"")</f>
        <v/>
      </c>
    </row>
    <row r="1462" spans="3:3" x14ac:dyDescent="0.25">
      <c r="C1462" s="51" t="str">
        <f>+IFERROR(IF(Tabla4[[#This Row],[FECHA]]&gt;$B$1,1,""),"")</f>
        <v/>
      </c>
    </row>
    <row r="1463" spans="3:3" x14ac:dyDescent="0.25">
      <c r="C1463" s="51" t="str">
        <f>+IFERROR(IF(Tabla4[[#This Row],[FECHA]]&gt;$B$1,1,""),"")</f>
        <v/>
      </c>
    </row>
    <row r="1464" spans="3:3" x14ac:dyDescent="0.25">
      <c r="C1464" s="51" t="str">
        <f>+IFERROR(IF(Tabla4[[#This Row],[FECHA]]&gt;$B$1,1,""),"")</f>
        <v/>
      </c>
    </row>
    <row r="1465" spans="3:3" x14ac:dyDescent="0.25">
      <c r="C1465" s="51" t="str">
        <f>+IFERROR(IF(Tabla4[[#This Row],[FECHA]]&gt;$B$1,1,""),"")</f>
        <v/>
      </c>
    </row>
    <row r="1466" spans="3:3" x14ac:dyDescent="0.25">
      <c r="C1466" s="51" t="str">
        <f>+IFERROR(IF(Tabla4[[#This Row],[FECHA]]&gt;$B$1,1,""),"")</f>
        <v/>
      </c>
    </row>
    <row r="1467" spans="3:3" x14ac:dyDescent="0.25">
      <c r="C1467" s="51" t="str">
        <f>+IFERROR(IF(Tabla4[[#This Row],[FECHA]]&gt;$B$1,1,""),"")</f>
        <v/>
      </c>
    </row>
    <row r="1468" spans="3:3" x14ac:dyDescent="0.25">
      <c r="C1468" s="51" t="str">
        <f>+IFERROR(IF(Tabla4[[#This Row],[FECHA]]&gt;$B$1,1,""),"")</f>
        <v/>
      </c>
    </row>
    <row r="1469" spans="3:3" x14ac:dyDescent="0.25">
      <c r="C1469" s="51" t="str">
        <f>+IFERROR(IF(Tabla4[[#This Row],[FECHA]]&gt;$B$1,1,""),"")</f>
        <v/>
      </c>
    </row>
    <row r="1470" spans="3:3" x14ac:dyDescent="0.25">
      <c r="C1470" s="51" t="str">
        <f>+IFERROR(IF(Tabla4[[#This Row],[FECHA]]&gt;$B$1,1,""),"")</f>
        <v/>
      </c>
    </row>
    <row r="1471" spans="3:3" x14ac:dyDescent="0.25">
      <c r="C1471" s="51" t="str">
        <f>+IFERROR(IF(Tabla4[[#This Row],[FECHA]]&gt;$B$1,1,""),"")</f>
        <v/>
      </c>
    </row>
    <row r="1472" spans="3:3" x14ac:dyDescent="0.25">
      <c r="C1472" s="51" t="str">
        <f>+IFERROR(IF(Tabla4[[#This Row],[FECHA]]&gt;$B$1,1,""),"")</f>
        <v/>
      </c>
    </row>
    <row r="1473" spans="3:3" x14ac:dyDescent="0.25">
      <c r="C1473" s="51" t="str">
        <f>+IFERROR(IF(Tabla4[[#This Row],[FECHA]]&gt;$B$1,1,""),"")</f>
        <v/>
      </c>
    </row>
    <row r="1474" spans="3:3" x14ac:dyDescent="0.25">
      <c r="C1474" s="51" t="str">
        <f>+IFERROR(IF(Tabla4[[#This Row],[FECHA]]&gt;$B$1,1,""),"")</f>
        <v/>
      </c>
    </row>
    <row r="1475" spans="3:3" x14ac:dyDescent="0.25">
      <c r="C1475" s="51" t="str">
        <f>+IFERROR(IF(Tabla4[[#This Row],[FECHA]]&gt;$B$1,1,""),"")</f>
        <v/>
      </c>
    </row>
    <row r="1476" spans="3:3" x14ac:dyDescent="0.25">
      <c r="C1476" s="51" t="str">
        <f>+IFERROR(IF(Tabla4[[#This Row],[FECHA]]&gt;$B$1,1,""),"")</f>
        <v/>
      </c>
    </row>
    <row r="1477" spans="3:3" x14ac:dyDescent="0.25">
      <c r="C1477" s="51" t="str">
        <f>+IFERROR(IF(Tabla4[[#This Row],[FECHA]]&gt;$B$1,1,""),"")</f>
        <v/>
      </c>
    </row>
    <row r="1478" spans="3:3" x14ac:dyDescent="0.25">
      <c r="C1478" s="51" t="str">
        <f>+IFERROR(IF(Tabla4[[#This Row],[FECHA]]&gt;$B$1,1,""),"")</f>
        <v/>
      </c>
    </row>
    <row r="1479" spans="3:3" x14ac:dyDescent="0.25">
      <c r="C1479" s="51" t="str">
        <f>+IFERROR(IF(Tabla4[[#This Row],[FECHA]]&gt;$B$1,1,""),"")</f>
        <v/>
      </c>
    </row>
    <row r="1480" spans="3:3" x14ac:dyDescent="0.25">
      <c r="C1480" s="51" t="str">
        <f>+IFERROR(IF(Tabla4[[#This Row],[FECHA]]&gt;$B$1,1,""),"")</f>
        <v/>
      </c>
    </row>
    <row r="1481" spans="3:3" x14ac:dyDescent="0.25">
      <c r="C1481" s="51" t="str">
        <f>+IFERROR(IF(Tabla4[[#This Row],[FECHA]]&gt;$B$1,1,""),"")</f>
        <v/>
      </c>
    </row>
    <row r="1482" spans="3:3" x14ac:dyDescent="0.25">
      <c r="C1482" s="51" t="str">
        <f>+IFERROR(IF(Tabla4[[#This Row],[FECHA]]&gt;$B$1,1,""),"")</f>
        <v/>
      </c>
    </row>
    <row r="1483" spans="3:3" x14ac:dyDescent="0.25">
      <c r="C1483" s="51" t="str">
        <f>+IFERROR(IF(Tabla4[[#This Row],[FECHA]]&gt;$B$1,1,""),"")</f>
        <v/>
      </c>
    </row>
    <row r="1484" spans="3:3" x14ac:dyDescent="0.25">
      <c r="C1484" s="51" t="str">
        <f>+IFERROR(IF(Tabla4[[#This Row],[FECHA]]&gt;$B$1,1,""),"")</f>
        <v/>
      </c>
    </row>
    <row r="1485" spans="3:3" x14ac:dyDescent="0.25">
      <c r="C1485" s="51" t="str">
        <f>+IFERROR(IF(Tabla4[[#This Row],[FECHA]]&gt;$B$1,1,""),"")</f>
        <v/>
      </c>
    </row>
    <row r="1486" spans="3:3" x14ac:dyDescent="0.25">
      <c r="C1486" s="51" t="str">
        <f>+IFERROR(IF(Tabla4[[#This Row],[FECHA]]&gt;$B$1,1,""),"")</f>
        <v/>
      </c>
    </row>
    <row r="1487" spans="3:3" x14ac:dyDescent="0.25">
      <c r="C1487" s="51" t="str">
        <f>+IFERROR(IF(Tabla4[[#This Row],[FECHA]]&gt;$B$1,1,""),"")</f>
        <v/>
      </c>
    </row>
    <row r="1488" spans="3:3" x14ac:dyDescent="0.25">
      <c r="C1488" s="51" t="str">
        <f>+IFERROR(IF(Tabla4[[#This Row],[FECHA]]&gt;$B$1,1,""),"")</f>
        <v/>
      </c>
    </row>
    <row r="1489" spans="3:3" x14ac:dyDescent="0.25">
      <c r="C1489" s="51" t="str">
        <f>+IFERROR(IF(Tabla4[[#This Row],[FECHA]]&gt;$B$1,1,""),"")</f>
        <v/>
      </c>
    </row>
    <row r="1490" spans="3:3" x14ac:dyDescent="0.25">
      <c r="C1490" s="51" t="str">
        <f>+IFERROR(IF(Tabla4[[#This Row],[FECHA]]&gt;$B$1,1,""),"")</f>
        <v/>
      </c>
    </row>
    <row r="1491" spans="3:3" x14ac:dyDescent="0.25">
      <c r="C1491" s="51" t="str">
        <f>+IFERROR(IF(Tabla4[[#This Row],[FECHA]]&gt;$B$1,1,""),"")</f>
        <v/>
      </c>
    </row>
    <row r="1492" spans="3:3" x14ac:dyDescent="0.25">
      <c r="C1492" s="51" t="str">
        <f>+IFERROR(IF(Tabla4[[#This Row],[FECHA]]&gt;$B$1,1,""),"")</f>
        <v/>
      </c>
    </row>
    <row r="1493" spans="3:3" x14ac:dyDescent="0.25">
      <c r="C1493" s="51" t="str">
        <f>+IFERROR(IF(Tabla4[[#This Row],[FECHA]]&gt;$B$1,1,""),"")</f>
        <v/>
      </c>
    </row>
    <row r="1494" spans="3:3" x14ac:dyDescent="0.25">
      <c r="C1494" s="51" t="str">
        <f>+IFERROR(IF(Tabla4[[#This Row],[FECHA]]&gt;$B$1,1,""),"")</f>
        <v/>
      </c>
    </row>
    <row r="1495" spans="3:3" x14ac:dyDescent="0.25">
      <c r="C1495" s="51" t="str">
        <f>+IFERROR(IF(Tabla4[[#This Row],[FECHA]]&gt;$B$1,1,""),"")</f>
        <v/>
      </c>
    </row>
    <row r="1496" spans="3:3" x14ac:dyDescent="0.25">
      <c r="C1496" s="51" t="str">
        <f>+IFERROR(IF(Tabla4[[#This Row],[FECHA]]&gt;$B$1,1,""),"")</f>
        <v/>
      </c>
    </row>
    <row r="1497" spans="3:3" x14ac:dyDescent="0.25">
      <c r="C1497" s="51" t="str">
        <f>+IFERROR(IF(Tabla4[[#This Row],[FECHA]]&gt;$B$1,1,""),"")</f>
        <v/>
      </c>
    </row>
    <row r="1498" spans="3:3" x14ac:dyDescent="0.25">
      <c r="C1498" s="51" t="str">
        <f>+IFERROR(IF(Tabla4[[#This Row],[FECHA]]&gt;$B$1,1,""),"")</f>
        <v/>
      </c>
    </row>
    <row r="1499" spans="3:3" x14ac:dyDescent="0.25">
      <c r="C1499" s="51" t="str">
        <f>+IFERROR(IF(Tabla4[[#This Row],[FECHA]]&gt;$B$1,1,""),"")</f>
        <v/>
      </c>
    </row>
    <row r="1500" spans="3:3" x14ac:dyDescent="0.25">
      <c r="C1500" s="51" t="str">
        <f>+IFERROR(IF(Tabla4[[#This Row],[FECHA]]&gt;$B$1,1,""),"")</f>
        <v/>
      </c>
    </row>
    <row r="1501" spans="3:3" x14ac:dyDescent="0.25">
      <c r="C1501" s="51" t="str">
        <f>+IFERROR(IF(Tabla4[[#This Row],[FECHA]]&gt;$B$1,1,""),"")</f>
        <v/>
      </c>
    </row>
    <row r="1502" spans="3:3" x14ac:dyDescent="0.25">
      <c r="C1502" s="51" t="str">
        <f>+IFERROR(IF(Tabla4[[#This Row],[FECHA]]&gt;$B$1,1,""),"")</f>
        <v/>
      </c>
    </row>
    <row r="1503" spans="3:3" x14ac:dyDescent="0.25">
      <c r="C1503" s="51" t="str">
        <f>+IFERROR(IF(Tabla4[[#This Row],[FECHA]]&gt;$B$1,1,""),"")</f>
        <v/>
      </c>
    </row>
    <row r="1504" spans="3:3" x14ac:dyDescent="0.25">
      <c r="C1504" s="51" t="str">
        <f>+IFERROR(IF(Tabla4[[#This Row],[FECHA]]&gt;$B$1,1,""),"")</f>
        <v/>
      </c>
    </row>
    <row r="1505" spans="3:3" x14ac:dyDescent="0.25">
      <c r="C1505" s="51" t="str">
        <f>+IFERROR(IF(Tabla4[[#This Row],[FECHA]]&gt;$B$1,1,""),"")</f>
        <v/>
      </c>
    </row>
    <row r="1506" spans="3:3" x14ac:dyDescent="0.25">
      <c r="C1506" s="51" t="str">
        <f>+IFERROR(IF(Tabla4[[#This Row],[FECHA]]&gt;$B$1,1,""),"")</f>
        <v/>
      </c>
    </row>
    <row r="1507" spans="3:3" x14ac:dyDescent="0.25">
      <c r="C1507" s="51" t="str">
        <f>+IFERROR(IF(Tabla4[[#This Row],[FECHA]]&gt;$B$1,1,""),"")</f>
        <v/>
      </c>
    </row>
    <row r="1508" spans="3:3" x14ac:dyDescent="0.25">
      <c r="C1508" s="51" t="str">
        <f>+IFERROR(IF(Tabla4[[#This Row],[FECHA]]&gt;$B$1,1,""),"")</f>
        <v/>
      </c>
    </row>
    <row r="1509" spans="3:3" x14ac:dyDescent="0.25">
      <c r="C1509" s="51" t="str">
        <f>+IFERROR(IF(Tabla4[[#This Row],[FECHA]]&gt;$B$1,1,""),"")</f>
        <v/>
      </c>
    </row>
    <row r="1510" spans="3:3" x14ac:dyDescent="0.25">
      <c r="C1510" s="51" t="str">
        <f>+IFERROR(IF(Tabla4[[#This Row],[FECHA]]&gt;$B$1,1,""),"")</f>
        <v/>
      </c>
    </row>
    <row r="1511" spans="3:3" x14ac:dyDescent="0.25">
      <c r="C1511" s="51" t="str">
        <f>+IFERROR(IF(Tabla4[[#This Row],[FECHA]]&gt;$B$1,1,""),"")</f>
        <v/>
      </c>
    </row>
    <row r="1512" spans="3:3" x14ac:dyDescent="0.25">
      <c r="C1512" s="51" t="str">
        <f>+IFERROR(IF(Tabla4[[#This Row],[FECHA]]&gt;$B$1,1,""),"")</f>
        <v/>
      </c>
    </row>
    <row r="1513" spans="3:3" x14ac:dyDescent="0.25">
      <c r="C1513" s="51" t="str">
        <f>+IFERROR(IF(Tabla4[[#This Row],[FECHA]]&gt;$B$1,1,""),"")</f>
        <v/>
      </c>
    </row>
    <row r="1514" spans="3:3" x14ac:dyDescent="0.25">
      <c r="C1514" s="51" t="str">
        <f>+IFERROR(IF(Tabla4[[#This Row],[FECHA]]&gt;$B$1,1,""),"")</f>
        <v/>
      </c>
    </row>
    <row r="1515" spans="3:3" x14ac:dyDescent="0.25">
      <c r="C1515" s="51" t="str">
        <f>+IFERROR(IF(Tabla4[[#This Row],[FECHA]]&gt;$B$1,1,""),"")</f>
        <v/>
      </c>
    </row>
    <row r="1516" spans="3:3" x14ac:dyDescent="0.25">
      <c r="C1516" s="51" t="str">
        <f>+IFERROR(IF(Tabla4[[#This Row],[FECHA]]&gt;$B$1,1,""),"")</f>
        <v/>
      </c>
    </row>
    <row r="1517" spans="3:3" x14ac:dyDescent="0.25">
      <c r="C1517" s="51" t="str">
        <f>+IFERROR(IF(Tabla4[[#This Row],[FECHA]]&gt;$B$1,1,""),"")</f>
        <v/>
      </c>
    </row>
    <row r="1518" spans="3:3" x14ac:dyDescent="0.25">
      <c r="C1518" s="51" t="str">
        <f>+IFERROR(IF(Tabla4[[#This Row],[FECHA]]&gt;$B$1,1,""),"")</f>
        <v/>
      </c>
    </row>
    <row r="1519" spans="3:3" x14ac:dyDescent="0.25">
      <c r="C1519" s="51" t="str">
        <f>+IFERROR(IF(Tabla4[[#This Row],[FECHA]]&gt;$B$1,1,""),"")</f>
        <v/>
      </c>
    </row>
    <row r="1520" spans="3:3" x14ac:dyDescent="0.25">
      <c r="C1520" s="51" t="str">
        <f>+IFERROR(IF(Tabla4[[#This Row],[FECHA]]&gt;$B$1,1,""),"")</f>
        <v/>
      </c>
    </row>
    <row r="1521" spans="3:3" x14ac:dyDescent="0.25">
      <c r="C1521" s="51" t="str">
        <f>+IFERROR(IF(Tabla4[[#This Row],[FECHA]]&gt;$B$1,1,""),"")</f>
        <v/>
      </c>
    </row>
    <row r="1522" spans="3:3" x14ac:dyDescent="0.25">
      <c r="C1522" s="51" t="str">
        <f>+IFERROR(IF(Tabla4[[#This Row],[FECHA]]&gt;$B$1,1,""),"")</f>
        <v/>
      </c>
    </row>
    <row r="1523" spans="3:3" x14ac:dyDescent="0.25">
      <c r="C1523" s="51" t="str">
        <f>+IFERROR(IF(Tabla4[[#This Row],[FECHA]]&gt;$B$1,1,""),"")</f>
        <v/>
      </c>
    </row>
    <row r="1524" spans="3:3" x14ac:dyDescent="0.25">
      <c r="C1524" s="51" t="str">
        <f>+IFERROR(IF(Tabla4[[#This Row],[FECHA]]&gt;$B$1,1,""),"")</f>
        <v/>
      </c>
    </row>
    <row r="1525" spans="3:3" x14ac:dyDescent="0.25">
      <c r="C1525" s="51" t="str">
        <f>+IFERROR(IF(Tabla4[[#This Row],[FECHA]]&gt;$B$1,1,""),"")</f>
        <v/>
      </c>
    </row>
    <row r="1526" spans="3:3" x14ac:dyDescent="0.25">
      <c r="C1526" s="51" t="str">
        <f>+IFERROR(IF(Tabla4[[#This Row],[FECHA]]&gt;$B$1,1,""),"")</f>
        <v/>
      </c>
    </row>
    <row r="1527" spans="3:3" x14ac:dyDescent="0.25">
      <c r="C1527" s="51" t="str">
        <f>+IFERROR(IF(Tabla4[[#This Row],[FECHA]]&gt;$B$1,1,""),"")</f>
        <v/>
      </c>
    </row>
    <row r="1528" spans="3:3" x14ac:dyDescent="0.25">
      <c r="C1528" s="51" t="str">
        <f>+IFERROR(IF(Tabla4[[#This Row],[FECHA]]&gt;$B$1,1,""),"")</f>
        <v/>
      </c>
    </row>
    <row r="1529" spans="3:3" x14ac:dyDescent="0.25">
      <c r="C1529" s="51" t="str">
        <f>+IFERROR(IF(Tabla4[[#This Row],[FECHA]]&gt;$B$1,1,""),"")</f>
        <v/>
      </c>
    </row>
    <row r="1530" spans="3:3" x14ac:dyDescent="0.25">
      <c r="C1530" s="51" t="str">
        <f>+IFERROR(IF(Tabla4[[#This Row],[FECHA]]&gt;$B$1,1,""),"")</f>
        <v/>
      </c>
    </row>
    <row r="1531" spans="3:3" x14ac:dyDescent="0.25">
      <c r="C1531" s="51" t="str">
        <f>+IFERROR(IF(Tabla4[[#This Row],[FECHA]]&gt;$B$1,1,""),"")</f>
        <v/>
      </c>
    </row>
    <row r="1532" spans="3:3" x14ac:dyDescent="0.25">
      <c r="C1532" s="51" t="str">
        <f>+IFERROR(IF(Tabla4[[#This Row],[FECHA]]&gt;$B$1,1,""),"")</f>
        <v/>
      </c>
    </row>
    <row r="1533" spans="3:3" x14ac:dyDescent="0.25">
      <c r="C1533" s="51" t="str">
        <f>+IFERROR(IF(Tabla4[[#This Row],[FECHA]]&gt;$B$1,1,""),"")</f>
        <v/>
      </c>
    </row>
    <row r="1534" spans="3:3" x14ac:dyDescent="0.25">
      <c r="C1534" s="51" t="str">
        <f>+IFERROR(IF(Tabla4[[#This Row],[FECHA]]&gt;$B$1,1,""),"")</f>
        <v/>
      </c>
    </row>
    <row r="1535" spans="3:3" x14ac:dyDescent="0.25">
      <c r="C1535" s="51" t="str">
        <f>+IFERROR(IF(Tabla4[[#This Row],[FECHA]]&gt;$B$1,1,""),"")</f>
        <v/>
      </c>
    </row>
    <row r="1536" spans="3:3" x14ac:dyDescent="0.25">
      <c r="C1536" s="51" t="str">
        <f>+IFERROR(IF(Tabla4[[#This Row],[FECHA]]&gt;$B$1,1,""),"")</f>
        <v/>
      </c>
    </row>
    <row r="1537" spans="3:3" x14ac:dyDescent="0.25">
      <c r="C1537" s="51" t="str">
        <f>+IFERROR(IF(Tabla4[[#This Row],[FECHA]]&gt;$B$1,1,""),"")</f>
        <v/>
      </c>
    </row>
    <row r="1538" spans="3:3" x14ac:dyDescent="0.25">
      <c r="C1538" s="51" t="str">
        <f>+IFERROR(IF(Tabla4[[#This Row],[FECHA]]&gt;$B$1,1,""),"")</f>
        <v/>
      </c>
    </row>
    <row r="1539" spans="3:3" x14ac:dyDescent="0.25">
      <c r="C1539" s="51" t="str">
        <f>+IFERROR(IF(Tabla4[[#This Row],[FECHA]]&gt;$B$1,1,""),"")</f>
        <v/>
      </c>
    </row>
    <row r="1540" spans="3:3" x14ac:dyDescent="0.25">
      <c r="C1540" s="51" t="str">
        <f>+IFERROR(IF(Tabla4[[#This Row],[FECHA]]&gt;$B$1,1,""),"")</f>
        <v/>
      </c>
    </row>
    <row r="1541" spans="3:3" x14ac:dyDescent="0.25">
      <c r="C1541" s="51" t="str">
        <f>+IFERROR(IF(Tabla4[[#This Row],[FECHA]]&gt;$B$1,1,""),"")</f>
        <v/>
      </c>
    </row>
    <row r="1542" spans="3:3" x14ac:dyDescent="0.25">
      <c r="C1542" s="51" t="str">
        <f>+IFERROR(IF(Tabla4[[#This Row],[FECHA]]&gt;$B$1,1,""),"")</f>
        <v/>
      </c>
    </row>
    <row r="1543" spans="3:3" x14ac:dyDescent="0.25">
      <c r="C1543" s="51" t="str">
        <f>+IFERROR(IF(Tabla4[[#This Row],[FECHA]]&gt;$B$1,1,""),"")</f>
        <v/>
      </c>
    </row>
    <row r="1544" spans="3:3" x14ac:dyDescent="0.25">
      <c r="C1544" s="51" t="str">
        <f>+IFERROR(IF(Tabla4[[#This Row],[FECHA]]&gt;$B$1,1,""),"")</f>
        <v/>
      </c>
    </row>
    <row r="1545" spans="3:3" x14ac:dyDescent="0.25">
      <c r="C1545" s="51" t="str">
        <f>+IFERROR(IF(Tabla4[[#This Row],[FECHA]]&gt;$B$1,1,""),"")</f>
        <v/>
      </c>
    </row>
    <row r="1546" spans="3:3" x14ac:dyDescent="0.25">
      <c r="C1546" s="51" t="str">
        <f>+IFERROR(IF(Tabla4[[#This Row],[FECHA]]&gt;$B$1,1,""),"")</f>
        <v/>
      </c>
    </row>
    <row r="1547" spans="3:3" x14ac:dyDescent="0.25">
      <c r="C1547" s="51" t="str">
        <f>+IFERROR(IF(Tabla4[[#This Row],[FECHA]]&gt;$B$1,1,""),"")</f>
        <v/>
      </c>
    </row>
    <row r="1548" spans="3:3" x14ac:dyDescent="0.25">
      <c r="C1548" s="51" t="str">
        <f>+IFERROR(IF(Tabla4[[#This Row],[FECHA]]&gt;$B$1,1,""),"")</f>
        <v/>
      </c>
    </row>
    <row r="1549" spans="3:3" x14ac:dyDescent="0.25">
      <c r="C1549" s="51" t="str">
        <f>+IFERROR(IF(Tabla4[[#This Row],[FECHA]]&gt;$B$1,1,""),"")</f>
        <v/>
      </c>
    </row>
    <row r="1550" spans="3:3" x14ac:dyDescent="0.25">
      <c r="C1550" s="51" t="str">
        <f>+IFERROR(IF(Tabla4[[#This Row],[FECHA]]&gt;$B$1,1,""),"")</f>
        <v/>
      </c>
    </row>
    <row r="1551" spans="3:3" x14ac:dyDescent="0.25">
      <c r="C1551" s="51" t="str">
        <f>+IFERROR(IF(Tabla4[[#This Row],[FECHA]]&gt;$B$1,1,""),"")</f>
        <v/>
      </c>
    </row>
    <row r="1552" spans="3:3" x14ac:dyDescent="0.25">
      <c r="C1552" s="51" t="str">
        <f>+IFERROR(IF(Tabla4[[#This Row],[FECHA]]&gt;$B$1,1,""),"")</f>
        <v/>
      </c>
    </row>
    <row r="1553" spans="3:3" x14ac:dyDescent="0.25">
      <c r="C1553" s="51" t="str">
        <f>+IFERROR(IF(Tabla4[[#This Row],[FECHA]]&gt;$B$1,1,""),"")</f>
        <v/>
      </c>
    </row>
    <row r="1554" spans="3:3" x14ac:dyDescent="0.25">
      <c r="C1554" s="51" t="str">
        <f>+IFERROR(IF(Tabla4[[#This Row],[FECHA]]&gt;$B$1,1,""),"")</f>
        <v/>
      </c>
    </row>
    <row r="1555" spans="3:3" x14ac:dyDescent="0.25">
      <c r="C1555" s="51" t="str">
        <f>+IFERROR(IF(Tabla4[[#This Row],[FECHA]]&gt;$B$1,1,""),"")</f>
        <v/>
      </c>
    </row>
    <row r="1556" spans="3:3" x14ac:dyDescent="0.25">
      <c r="C1556" s="51" t="str">
        <f>+IFERROR(IF(Tabla4[[#This Row],[FECHA]]&gt;$B$1,1,""),"")</f>
        <v/>
      </c>
    </row>
    <row r="1557" spans="3:3" x14ac:dyDescent="0.25">
      <c r="C1557" s="51" t="str">
        <f>+IFERROR(IF(Tabla4[[#This Row],[FECHA]]&gt;$B$1,1,""),"")</f>
        <v/>
      </c>
    </row>
    <row r="1558" spans="3:3" x14ac:dyDescent="0.25">
      <c r="C1558" s="51" t="str">
        <f>+IFERROR(IF(Tabla4[[#This Row],[FECHA]]&gt;$B$1,1,""),"")</f>
        <v/>
      </c>
    </row>
    <row r="1559" spans="3:3" x14ac:dyDescent="0.25">
      <c r="C1559" s="51" t="str">
        <f>+IFERROR(IF(Tabla4[[#This Row],[FECHA]]&gt;$B$1,1,""),"")</f>
        <v/>
      </c>
    </row>
    <row r="1560" spans="3:3" x14ac:dyDescent="0.25">
      <c r="C1560" s="51" t="str">
        <f>+IFERROR(IF(Tabla4[[#This Row],[FECHA]]&gt;$B$1,1,""),"")</f>
        <v/>
      </c>
    </row>
    <row r="1561" spans="3:3" x14ac:dyDescent="0.25">
      <c r="C1561" s="51" t="str">
        <f>+IFERROR(IF(Tabla4[[#This Row],[FECHA]]&gt;$B$1,1,""),"")</f>
        <v/>
      </c>
    </row>
    <row r="1562" spans="3:3" x14ac:dyDescent="0.25">
      <c r="C1562" s="51" t="str">
        <f>+IFERROR(IF(Tabla4[[#This Row],[FECHA]]&gt;$B$1,1,""),"")</f>
        <v/>
      </c>
    </row>
    <row r="1563" spans="3:3" x14ac:dyDescent="0.25">
      <c r="C1563" s="51" t="str">
        <f>+IFERROR(IF(Tabla4[[#This Row],[FECHA]]&gt;$B$1,1,""),"")</f>
        <v/>
      </c>
    </row>
    <row r="1564" spans="3:3" x14ac:dyDescent="0.25">
      <c r="C1564" s="51" t="str">
        <f>+IFERROR(IF(Tabla4[[#This Row],[FECHA]]&gt;$B$1,1,""),"")</f>
        <v/>
      </c>
    </row>
    <row r="1565" spans="3:3" x14ac:dyDescent="0.25">
      <c r="C1565" s="51" t="str">
        <f>+IFERROR(IF(Tabla4[[#This Row],[FECHA]]&gt;$B$1,1,""),"")</f>
        <v/>
      </c>
    </row>
    <row r="1566" spans="3:3" x14ac:dyDescent="0.25">
      <c r="C1566" s="51" t="str">
        <f>+IFERROR(IF(Tabla4[[#This Row],[FECHA]]&gt;$B$1,1,""),"")</f>
        <v/>
      </c>
    </row>
    <row r="1567" spans="3:3" x14ac:dyDescent="0.25">
      <c r="C1567" s="51" t="str">
        <f>+IFERROR(IF(Tabla4[[#This Row],[FECHA]]&gt;$B$1,1,""),"")</f>
        <v/>
      </c>
    </row>
    <row r="1568" spans="3:3" x14ac:dyDescent="0.25">
      <c r="C1568" s="51" t="str">
        <f>+IFERROR(IF(Tabla4[[#This Row],[FECHA]]&gt;$B$1,1,""),"")</f>
        <v/>
      </c>
    </row>
    <row r="1569" spans="3:3" x14ac:dyDescent="0.25">
      <c r="C1569" s="51" t="str">
        <f>+IFERROR(IF(Tabla4[[#This Row],[FECHA]]&gt;$B$1,1,""),"")</f>
        <v/>
      </c>
    </row>
    <row r="1570" spans="3:3" x14ac:dyDescent="0.25">
      <c r="C1570" s="51" t="str">
        <f>+IFERROR(IF(Tabla4[[#This Row],[FECHA]]&gt;$B$1,1,""),"")</f>
        <v/>
      </c>
    </row>
    <row r="1571" spans="3:3" x14ac:dyDescent="0.25">
      <c r="C1571" s="51" t="str">
        <f>+IFERROR(IF(Tabla4[[#This Row],[FECHA]]&gt;$B$1,1,""),"")</f>
        <v/>
      </c>
    </row>
    <row r="1572" spans="3:3" x14ac:dyDescent="0.25">
      <c r="C1572" s="51" t="str">
        <f>+IFERROR(IF(Tabla4[[#This Row],[FECHA]]&gt;$B$1,1,""),"")</f>
        <v/>
      </c>
    </row>
    <row r="1573" spans="3:3" x14ac:dyDescent="0.25">
      <c r="C1573" s="51" t="str">
        <f>+IFERROR(IF(Tabla4[[#This Row],[FECHA]]&gt;$B$1,1,""),"")</f>
        <v/>
      </c>
    </row>
    <row r="1574" spans="3:3" x14ac:dyDescent="0.25">
      <c r="C1574" s="51" t="str">
        <f>+IFERROR(IF(Tabla4[[#This Row],[FECHA]]&gt;$B$1,1,""),"")</f>
        <v/>
      </c>
    </row>
    <row r="1575" spans="3:3" x14ac:dyDescent="0.25">
      <c r="C1575" s="51" t="str">
        <f>+IFERROR(IF(Tabla4[[#This Row],[FECHA]]&gt;$B$1,1,""),"")</f>
        <v/>
      </c>
    </row>
    <row r="1576" spans="3:3" x14ac:dyDescent="0.25">
      <c r="C1576" s="51" t="str">
        <f>+IFERROR(IF(Tabla4[[#This Row],[FECHA]]&gt;$B$1,1,""),"")</f>
        <v/>
      </c>
    </row>
    <row r="1577" spans="3:3" x14ac:dyDescent="0.25">
      <c r="C1577" s="51" t="str">
        <f>+IFERROR(IF(Tabla4[[#This Row],[FECHA]]&gt;$B$1,1,""),"")</f>
        <v/>
      </c>
    </row>
    <row r="1578" spans="3:3" x14ac:dyDescent="0.25">
      <c r="C1578" s="51" t="str">
        <f>+IFERROR(IF(Tabla4[[#This Row],[FECHA]]&gt;$B$1,1,""),"")</f>
        <v/>
      </c>
    </row>
    <row r="1579" spans="3:3" x14ac:dyDescent="0.25">
      <c r="C1579" s="51" t="str">
        <f>+IFERROR(IF(Tabla4[[#This Row],[FECHA]]&gt;$B$1,1,""),"")</f>
        <v/>
      </c>
    </row>
    <row r="1580" spans="3:3" x14ac:dyDescent="0.25">
      <c r="C1580" s="51" t="str">
        <f>+IFERROR(IF(Tabla4[[#This Row],[FECHA]]&gt;$B$1,1,""),"")</f>
        <v/>
      </c>
    </row>
    <row r="1581" spans="3:3" x14ac:dyDescent="0.25">
      <c r="C1581" s="51" t="str">
        <f>+IFERROR(IF(Tabla4[[#This Row],[FECHA]]&gt;$B$1,1,""),"")</f>
        <v/>
      </c>
    </row>
    <row r="1582" spans="3:3" x14ac:dyDescent="0.25">
      <c r="C1582" s="51" t="str">
        <f>+IFERROR(IF(Tabla4[[#This Row],[FECHA]]&gt;$B$1,1,""),"")</f>
        <v/>
      </c>
    </row>
    <row r="1583" spans="3:3" x14ac:dyDescent="0.25">
      <c r="C1583" s="51" t="str">
        <f>+IFERROR(IF(Tabla4[[#This Row],[FECHA]]&gt;$B$1,1,""),"")</f>
        <v/>
      </c>
    </row>
    <row r="1584" spans="3:3" x14ac:dyDescent="0.25">
      <c r="C1584" s="51" t="str">
        <f>+IFERROR(IF(Tabla4[[#This Row],[FECHA]]&gt;$B$1,1,""),"")</f>
        <v/>
      </c>
    </row>
    <row r="1585" spans="3:3" x14ac:dyDescent="0.25">
      <c r="C1585" s="51" t="str">
        <f>+IFERROR(IF(Tabla4[[#This Row],[FECHA]]&gt;$B$1,1,""),"")</f>
        <v/>
      </c>
    </row>
    <row r="1586" spans="3:3" x14ac:dyDescent="0.25">
      <c r="C1586" s="51" t="str">
        <f>+IFERROR(IF(Tabla4[[#This Row],[FECHA]]&gt;$B$1,1,""),"")</f>
        <v/>
      </c>
    </row>
    <row r="1587" spans="3:3" x14ac:dyDescent="0.25">
      <c r="C1587" s="51" t="str">
        <f>+IFERROR(IF(Tabla4[[#This Row],[FECHA]]&gt;$B$1,1,""),"")</f>
        <v/>
      </c>
    </row>
    <row r="1588" spans="3:3" x14ac:dyDescent="0.25">
      <c r="C1588" s="51" t="str">
        <f>+IFERROR(IF(Tabla4[[#This Row],[FECHA]]&gt;$B$1,1,""),"")</f>
        <v/>
      </c>
    </row>
    <row r="1589" spans="3:3" x14ac:dyDescent="0.25">
      <c r="C1589" s="51" t="str">
        <f>+IFERROR(IF(Tabla4[[#This Row],[FECHA]]&gt;$B$1,1,""),"")</f>
        <v/>
      </c>
    </row>
    <row r="1590" spans="3:3" x14ac:dyDescent="0.25">
      <c r="C1590" s="51" t="str">
        <f>+IFERROR(IF(Tabla4[[#This Row],[FECHA]]&gt;$B$1,1,""),"")</f>
        <v/>
      </c>
    </row>
    <row r="1591" spans="3:3" x14ac:dyDescent="0.25">
      <c r="C1591" s="51" t="str">
        <f>+IFERROR(IF(Tabla4[[#This Row],[FECHA]]&gt;$B$1,1,""),"")</f>
        <v/>
      </c>
    </row>
    <row r="1592" spans="3:3" x14ac:dyDescent="0.25">
      <c r="C1592" s="51" t="str">
        <f>+IFERROR(IF(Tabla4[[#This Row],[FECHA]]&gt;$B$1,1,""),"")</f>
        <v/>
      </c>
    </row>
    <row r="1593" spans="3:3" x14ac:dyDescent="0.25">
      <c r="C1593" s="51" t="str">
        <f>+IFERROR(IF(Tabla4[[#This Row],[FECHA]]&gt;$B$1,1,""),"")</f>
        <v/>
      </c>
    </row>
    <row r="1594" spans="3:3" x14ac:dyDescent="0.25">
      <c r="C1594" s="51" t="str">
        <f>+IFERROR(IF(Tabla4[[#This Row],[FECHA]]&gt;$B$1,1,""),"")</f>
        <v/>
      </c>
    </row>
    <row r="1595" spans="3:3" x14ac:dyDescent="0.25">
      <c r="C1595" s="51" t="str">
        <f>+IFERROR(IF(Tabla4[[#This Row],[FECHA]]&gt;$B$1,1,""),"")</f>
        <v/>
      </c>
    </row>
    <row r="1596" spans="3:3" x14ac:dyDescent="0.25">
      <c r="C1596" s="51" t="str">
        <f>+IFERROR(IF(Tabla4[[#This Row],[FECHA]]&gt;$B$1,1,""),"")</f>
        <v/>
      </c>
    </row>
    <row r="1597" spans="3:3" x14ac:dyDescent="0.25">
      <c r="C1597" s="51" t="str">
        <f>+IFERROR(IF(Tabla4[[#This Row],[FECHA]]&gt;$B$1,1,""),"")</f>
        <v/>
      </c>
    </row>
    <row r="1598" spans="3:3" x14ac:dyDescent="0.25">
      <c r="C1598" s="51" t="str">
        <f>+IFERROR(IF(Tabla4[[#This Row],[FECHA]]&gt;$B$1,1,""),"")</f>
        <v/>
      </c>
    </row>
    <row r="1599" spans="3:3" x14ac:dyDescent="0.25">
      <c r="C1599" s="51" t="str">
        <f>+IFERROR(IF(Tabla4[[#This Row],[FECHA]]&gt;$B$1,1,""),"")</f>
        <v/>
      </c>
    </row>
    <row r="1600" spans="3:3" x14ac:dyDescent="0.25">
      <c r="C1600" s="51" t="str">
        <f>+IFERROR(IF(Tabla4[[#This Row],[FECHA]]&gt;$B$1,1,""),"")</f>
        <v/>
      </c>
    </row>
    <row r="1601" spans="3:3" x14ac:dyDescent="0.25">
      <c r="C1601" s="51" t="str">
        <f>+IFERROR(IF(Tabla4[[#This Row],[FECHA]]&gt;$B$1,1,""),"")</f>
        <v/>
      </c>
    </row>
    <row r="1602" spans="3:3" x14ac:dyDescent="0.25">
      <c r="C1602" s="51" t="str">
        <f>+IFERROR(IF(Tabla4[[#This Row],[FECHA]]&gt;$B$1,1,""),"")</f>
        <v/>
      </c>
    </row>
    <row r="1603" spans="3:3" x14ac:dyDescent="0.25">
      <c r="C1603" s="51" t="str">
        <f>+IFERROR(IF(Tabla4[[#This Row],[FECHA]]&gt;$B$1,1,""),"")</f>
        <v/>
      </c>
    </row>
    <row r="1604" spans="3:3" x14ac:dyDescent="0.25">
      <c r="C1604" s="51" t="str">
        <f>+IFERROR(IF(Tabla4[[#This Row],[FECHA]]&gt;$B$1,1,""),"")</f>
        <v/>
      </c>
    </row>
    <row r="1605" spans="3:3" x14ac:dyDescent="0.25">
      <c r="C1605" s="51" t="str">
        <f>+IFERROR(IF(Tabla4[[#This Row],[FECHA]]&gt;$B$1,1,""),"")</f>
        <v/>
      </c>
    </row>
    <row r="1606" spans="3:3" x14ac:dyDescent="0.25">
      <c r="C1606" s="51" t="str">
        <f>+IFERROR(IF(Tabla4[[#This Row],[FECHA]]&gt;$B$1,1,""),"")</f>
        <v/>
      </c>
    </row>
    <row r="1607" spans="3:3" x14ac:dyDescent="0.25">
      <c r="C1607" s="51" t="str">
        <f>+IFERROR(IF(Tabla4[[#This Row],[FECHA]]&gt;$B$1,1,""),"")</f>
        <v/>
      </c>
    </row>
    <row r="1608" spans="3:3" x14ac:dyDescent="0.25">
      <c r="C1608" s="51" t="str">
        <f>+IFERROR(IF(Tabla4[[#This Row],[FECHA]]&gt;$B$1,1,""),"")</f>
        <v/>
      </c>
    </row>
    <row r="1609" spans="3:3" x14ac:dyDescent="0.25">
      <c r="C1609" s="51" t="str">
        <f>+IFERROR(IF(Tabla4[[#This Row],[FECHA]]&gt;$B$1,1,""),"")</f>
        <v/>
      </c>
    </row>
    <row r="1610" spans="3:3" x14ac:dyDescent="0.25">
      <c r="C1610" s="51" t="str">
        <f>+IFERROR(IF(Tabla4[[#This Row],[FECHA]]&gt;$B$1,1,""),"")</f>
        <v/>
      </c>
    </row>
    <row r="1611" spans="3:3" x14ac:dyDescent="0.25">
      <c r="C1611" s="51" t="str">
        <f>+IFERROR(IF(Tabla4[[#This Row],[FECHA]]&gt;$B$1,1,""),"")</f>
        <v/>
      </c>
    </row>
    <row r="1612" spans="3:3" x14ac:dyDescent="0.25">
      <c r="C1612" s="51" t="str">
        <f>+IFERROR(IF(Tabla4[[#This Row],[FECHA]]&gt;$B$1,1,""),"")</f>
        <v/>
      </c>
    </row>
    <row r="1613" spans="3:3" x14ac:dyDescent="0.25">
      <c r="C1613" s="51" t="str">
        <f>+IFERROR(IF(Tabla4[[#This Row],[FECHA]]&gt;$B$1,1,""),"")</f>
        <v/>
      </c>
    </row>
    <row r="1614" spans="3:3" x14ac:dyDescent="0.25">
      <c r="C1614" s="51" t="str">
        <f>+IFERROR(IF(Tabla4[[#This Row],[FECHA]]&gt;$B$1,1,""),"")</f>
        <v/>
      </c>
    </row>
    <row r="1615" spans="3:3" x14ac:dyDescent="0.25">
      <c r="C1615" s="51" t="str">
        <f>+IFERROR(IF(Tabla4[[#This Row],[FECHA]]&gt;$B$1,1,""),"")</f>
        <v/>
      </c>
    </row>
    <row r="1616" spans="3:3" x14ac:dyDescent="0.25">
      <c r="C1616" s="51" t="str">
        <f>+IFERROR(IF(Tabla4[[#This Row],[FECHA]]&gt;$B$1,1,""),"")</f>
        <v/>
      </c>
    </row>
    <row r="1617" spans="3:3" x14ac:dyDescent="0.25">
      <c r="C1617" s="51" t="str">
        <f>+IFERROR(IF(Tabla4[[#This Row],[FECHA]]&gt;$B$1,1,""),"")</f>
        <v/>
      </c>
    </row>
    <row r="1618" spans="3:3" x14ac:dyDescent="0.25">
      <c r="C1618" s="51" t="str">
        <f>+IFERROR(IF(Tabla4[[#This Row],[FECHA]]&gt;$B$1,1,""),"")</f>
        <v/>
      </c>
    </row>
    <row r="1619" spans="3:3" x14ac:dyDescent="0.25">
      <c r="C1619" s="51" t="str">
        <f>+IFERROR(IF(Tabla4[[#This Row],[FECHA]]&gt;$B$1,1,""),"")</f>
        <v/>
      </c>
    </row>
    <row r="1620" spans="3:3" x14ac:dyDescent="0.25">
      <c r="C1620" s="51" t="str">
        <f>+IFERROR(IF(Tabla4[[#This Row],[FECHA]]&gt;$B$1,1,""),"")</f>
        <v/>
      </c>
    </row>
    <row r="1621" spans="3:3" x14ac:dyDescent="0.25">
      <c r="C1621" s="51" t="str">
        <f>+IFERROR(IF(Tabla4[[#This Row],[FECHA]]&gt;$B$1,1,""),"")</f>
        <v/>
      </c>
    </row>
    <row r="1622" spans="3:3" x14ac:dyDescent="0.25">
      <c r="C1622" s="51" t="str">
        <f>+IFERROR(IF(Tabla4[[#This Row],[FECHA]]&gt;$B$1,1,""),"")</f>
        <v/>
      </c>
    </row>
    <row r="1623" spans="3:3" x14ac:dyDescent="0.25">
      <c r="C1623" s="51" t="str">
        <f>+IFERROR(IF(Tabla4[[#This Row],[FECHA]]&gt;$B$1,1,""),"")</f>
        <v/>
      </c>
    </row>
    <row r="1624" spans="3:3" x14ac:dyDescent="0.25">
      <c r="C1624" s="51" t="str">
        <f>+IFERROR(IF(Tabla4[[#This Row],[FECHA]]&gt;$B$1,1,""),"")</f>
        <v/>
      </c>
    </row>
    <row r="1625" spans="3:3" x14ac:dyDescent="0.25">
      <c r="C1625" s="51" t="str">
        <f>+IFERROR(IF(Tabla4[[#This Row],[FECHA]]&gt;$B$1,1,""),"")</f>
        <v/>
      </c>
    </row>
    <row r="1626" spans="3:3" x14ac:dyDescent="0.25">
      <c r="C1626" s="51" t="str">
        <f>+IFERROR(IF(Tabla4[[#This Row],[FECHA]]&gt;$B$1,1,""),"")</f>
        <v/>
      </c>
    </row>
    <row r="1627" spans="3:3" x14ac:dyDescent="0.25">
      <c r="C1627" s="51" t="str">
        <f>+IFERROR(IF(Tabla4[[#This Row],[FECHA]]&gt;$B$1,1,""),"")</f>
        <v/>
      </c>
    </row>
    <row r="1628" spans="3:3" x14ac:dyDescent="0.25">
      <c r="C1628" s="51" t="str">
        <f>+IFERROR(IF(Tabla4[[#This Row],[FECHA]]&gt;$B$1,1,""),"")</f>
        <v/>
      </c>
    </row>
    <row r="1629" spans="3:3" x14ac:dyDescent="0.25">
      <c r="C1629" s="51" t="str">
        <f>+IFERROR(IF(Tabla4[[#This Row],[FECHA]]&gt;$B$1,1,""),"")</f>
        <v/>
      </c>
    </row>
    <row r="1630" spans="3:3" x14ac:dyDescent="0.25">
      <c r="C1630" s="51" t="str">
        <f>+IFERROR(IF(Tabla4[[#This Row],[FECHA]]&gt;$B$1,1,""),"")</f>
        <v/>
      </c>
    </row>
    <row r="1631" spans="3:3" x14ac:dyDescent="0.25">
      <c r="C1631" s="51" t="str">
        <f>+IFERROR(IF(Tabla4[[#This Row],[FECHA]]&gt;$B$1,1,""),"")</f>
        <v/>
      </c>
    </row>
    <row r="1632" spans="3:3" x14ac:dyDescent="0.25">
      <c r="C1632" s="51" t="str">
        <f>+IFERROR(IF(Tabla4[[#This Row],[FECHA]]&gt;$B$1,1,""),"")</f>
        <v/>
      </c>
    </row>
    <row r="1633" spans="3:3" x14ac:dyDescent="0.25">
      <c r="C1633" s="51" t="str">
        <f>+IFERROR(IF(Tabla4[[#This Row],[FECHA]]&gt;$B$1,1,""),"")</f>
        <v/>
      </c>
    </row>
    <row r="1634" spans="3:3" x14ac:dyDescent="0.25">
      <c r="C1634" s="51" t="str">
        <f>+IFERROR(IF(Tabla4[[#This Row],[FECHA]]&gt;$B$1,1,""),"")</f>
        <v/>
      </c>
    </row>
    <row r="1635" spans="3:3" x14ac:dyDescent="0.25">
      <c r="C1635" s="51" t="str">
        <f>+IFERROR(IF(Tabla4[[#This Row],[FECHA]]&gt;$B$1,1,""),"")</f>
        <v/>
      </c>
    </row>
    <row r="1636" spans="3:3" x14ac:dyDescent="0.25">
      <c r="C1636" s="51" t="str">
        <f>+IFERROR(IF(Tabla4[[#This Row],[FECHA]]&gt;$B$1,1,""),"")</f>
        <v/>
      </c>
    </row>
    <row r="1637" spans="3:3" x14ac:dyDescent="0.25">
      <c r="C1637" s="51" t="str">
        <f>+IFERROR(IF(Tabla4[[#This Row],[FECHA]]&gt;$B$1,1,""),"")</f>
        <v/>
      </c>
    </row>
    <row r="1638" spans="3:3" x14ac:dyDescent="0.25">
      <c r="C1638" s="51" t="str">
        <f>+IFERROR(IF(Tabla4[[#This Row],[FECHA]]&gt;$B$1,1,""),"")</f>
        <v/>
      </c>
    </row>
    <row r="1639" spans="3:3" x14ac:dyDescent="0.25">
      <c r="C1639" s="51" t="str">
        <f>+IFERROR(IF(Tabla4[[#This Row],[FECHA]]&gt;$B$1,1,""),"")</f>
        <v/>
      </c>
    </row>
    <row r="1640" spans="3:3" x14ac:dyDescent="0.25">
      <c r="C1640" s="51" t="str">
        <f>+IFERROR(IF(Tabla4[[#This Row],[FECHA]]&gt;$B$1,1,""),"")</f>
        <v/>
      </c>
    </row>
    <row r="1641" spans="3:3" x14ac:dyDescent="0.25">
      <c r="C1641" s="51" t="str">
        <f>+IFERROR(IF(Tabla4[[#This Row],[FECHA]]&gt;$B$1,1,""),"")</f>
        <v/>
      </c>
    </row>
    <row r="1642" spans="3:3" x14ac:dyDescent="0.25">
      <c r="C1642" s="51" t="str">
        <f>+IFERROR(IF(Tabla4[[#This Row],[FECHA]]&gt;$B$1,1,""),"")</f>
        <v/>
      </c>
    </row>
    <row r="1643" spans="3:3" x14ac:dyDescent="0.25">
      <c r="C1643" s="51" t="str">
        <f>+IFERROR(IF(Tabla4[[#This Row],[FECHA]]&gt;$B$1,1,""),"")</f>
        <v/>
      </c>
    </row>
    <row r="1644" spans="3:3" x14ac:dyDescent="0.25">
      <c r="C1644" s="51" t="str">
        <f>+IFERROR(IF(Tabla4[[#This Row],[FECHA]]&gt;$B$1,1,""),"")</f>
        <v/>
      </c>
    </row>
    <row r="1645" spans="3:3" x14ac:dyDescent="0.25">
      <c r="C1645" s="51" t="str">
        <f>+IFERROR(IF(Tabla4[[#This Row],[FECHA]]&gt;$B$1,1,""),"")</f>
        <v/>
      </c>
    </row>
    <row r="1646" spans="3:3" x14ac:dyDescent="0.25">
      <c r="C1646" s="51" t="str">
        <f>+IFERROR(IF(Tabla4[[#This Row],[FECHA]]&gt;$B$1,1,""),"")</f>
        <v/>
      </c>
    </row>
    <row r="1647" spans="3:3" x14ac:dyDescent="0.25">
      <c r="C1647" s="51" t="str">
        <f>+IFERROR(IF(Tabla4[[#This Row],[FECHA]]&gt;$B$1,1,""),"")</f>
        <v/>
      </c>
    </row>
    <row r="1648" spans="3:3" x14ac:dyDescent="0.25">
      <c r="C1648" s="51" t="str">
        <f>+IFERROR(IF(Tabla4[[#This Row],[FECHA]]&gt;$B$1,1,""),"")</f>
        <v/>
      </c>
    </row>
    <row r="1649" spans="3:3" x14ac:dyDescent="0.25">
      <c r="C1649" s="51" t="str">
        <f>+IFERROR(IF(Tabla4[[#This Row],[FECHA]]&gt;$B$1,1,""),"")</f>
        <v/>
      </c>
    </row>
    <row r="1650" spans="3:3" x14ac:dyDescent="0.25">
      <c r="C1650" s="51" t="str">
        <f>+IFERROR(IF(Tabla4[[#This Row],[FECHA]]&gt;$B$1,1,""),"")</f>
        <v/>
      </c>
    </row>
    <row r="1651" spans="3:3" x14ac:dyDescent="0.25">
      <c r="C1651" s="51" t="str">
        <f>+IFERROR(IF(Tabla4[[#This Row],[FECHA]]&gt;$B$1,1,""),"")</f>
        <v/>
      </c>
    </row>
    <row r="1652" spans="3:3" x14ac:dyDescent="0.25">
      <c r="C1652" s="51" t="str">
        <f>+IFERROR(IF(Tabla4[[#This Row],[FECHA]]&gt;$B$1,1,""),"")</f>
        <v/>
      </c>
    </row>
    <row r="1653" spans="3:3" x14ac:dyDescent="0.25">
      <c r="C1653" s="51" t="str">
        <f>+IFERROR(IF(Tabla4[[#This Row],[FECHA]]&gt;$B$1,1,""),"")</f>
        <v/>
      </c>
    </row>
    <row r="1654" spans="3:3" x14ac:dyDescent="0.25">
      <c r="C1654" s="51" t="str">
        <f>+IFERROR(IF(Tabla4[[#This Row],[FECHA]]&gt;$B$1,1,""),"")</f>
        <v/>
      </c>
    </row>
    <row r="1655" spans="3:3" x14ac:dyDescent="0.25">
      <c r="C1655" s="51" t="str">
        <f>+IFERROR(IF(Tabla4[[#This Row],[FECHA]]&gt;$B$1,1,""),"")</f>
        <v/>
      </c>
    </row>
    <row r="1656" spans="3:3" x14ac:dyDescent="0.25">
      <c r="C1656" s="51" t="str">
        <f>+IFERROR(IF(Tabla4[[#This Row],[FECHA]]&gt;$B$1,1,""),"")</f>
        <v/>
      </c>
    </row>
    <row r="1657" spans="3:3" x14ac:dyDescent="0.25">
      <c r="C1657" s="51" t="str">
        <f>+IFERROR(IF(Tabla4[[#This Row],[FECHA]]&gt;$B$1,1,""),"")</f>
        <v/>
      </c>
    </row>
    <row r="1658" spans="3:3" x14ac:dyDescent="0.25">
      <c r="C1658" s="51" t="str">
        <f>+IFERROR(IF(Tabla4[[#This Row],[FECHA]]&gt;$B$1,1,""),"")</f>
        <v/>
      </c>
    </row>
    <row r="1659" spans="3:3" x14ac:dyDescent="0.25">
      <c r="C1659" s="51" t="str">
        <f>+IFERROR(IF(Tabla4[[#This Row],[FECHA]]&gt;$B$1,1,""),"")</f>
        <v/>
      </c>
    </row>
    <row r="1660" spans="3:3" x14ac:dyDescent="0.25">
      <c r="C1660" s="51" t="str">
        <f>+IFERROR(IF(Tabla4[[#This Row],[FECHA]]&gt;$B$1,1,""),"")</f>
        <v/>
      </c>
    </row>
    <row r="1661" spans="3:3" x14ac:dyDescent="0.25">
      <c r="C1661" s="51" t="str">
        <f>+IFERROR(IF(Tabla4[[#This Row],[FECHA]]&gt;$B$1,1,""),"")</f>
        <v/>
      </c>
    </row>
    <row r="1662" spans="3:3" x14ac:dyDescent="0.25">
      <c r="C1662" s="51" t="str">
        <f>+IFERROR(IF(Tabla4[[#This Row],[FECHA]]&gt;$B$1,1,""),"")</f>
        <v/>
      </c>
    </row>
    <row r="1663" spans="3:3" x14ac:dyDescent="0.25">
      <c r="C1663" s="51" t="str">
        <f>+IFERROR(IF(Tabla4[[#This Row],[FECHA]]&gt;$B$1,1,""),"")</f>
        <v/>
      </c>
    </row>
    <row r="1664" spans="3:3" x14ac:dyDescent="0.25">
      <c r="C1664" s="51" t="str">
        <f>+IFERROR(IF(Tabla4[[#This Row],[FECHA]]&gt;$B$1,1,""),"")</f>
        <v/>
      </c>
    </row>
    <row r="1665" spans="3:3" x14ac:dyDescent="0.25">
      <c r="C1665" s="51" t="str">
        <f>+IFERROR(IF(Tabla4[[#This Row],[FECHA]]&gt;$B$1,1,""),"")</f>
        <v/>
      </c>
    </row>
    <row r="1666" spans="3:3" x14ac:dyDescent="0.25">
      <c r="C1666" s="51" t="str">
        <f>+IFERROR(IF(Tabla4[[#This Row],[FECHA]]&gt;$B$1,1,""),"")</f>
        <v/>
      </c>
    </row>
    <row r="1667" spans="3:3" x14ac:dyDescent="0.25">
      <c r="C1667" s="51" t="str">
        <f>+IFERROR(IF(Tabla4[[#This Row],[FECHA]]&gt;$B$1,1,""),"")</f>
        <v/>
      </c>
    </row>
    <row r="1668" spans="3:3" x14ac:dyDescent="0.25">
      <c r="C1668" s="51" t="str">
        <f>+IFERROR(IF(Tabla4[[#This Row],[FECHA]]&gt;$B$1,1,""),"")</f>
        <v/>
      </c>
    </row>
    <row r="1669" spans="3:3" x14ac:dyDescent="0.25">
      <c r="C1669" s="51" t="str">
        <f>+IFERROR(IF(Tabla4[[#This Row],[FECHA]]&gt;$B$1,1,""),"")</f>
        <v/>
      </c>
    </row>
    <row r="1670" spans="3:3" x14ac:dyDescent="0.25">
      <c r="C1670" s="51" t="str">
        <f>+IFERROR(IF(Tabla4[[#This Row],[FECHA]]&gt;$B$1,1,""),"")</f>
        <v/>
      </c>
    </row>
    <row r="1671" spans="3:3" x14ac:dyDescent="0.25">
      <c r="C1671" s="51" t="str">
        <f>+IFERROR(IF(Tabla4[[#This Row],[FECHA]]&gt;$B$1,1,""),"")</f>
        <v/>
      </c>
    </row>
    <row r="1672" spans="3:3" x14ac:dyDescent="0.25">
      <c r="C1672" s="51" t="str">
        <f>+IFERROR(IF(Tabla4[[#This Row],[FECHA]]&gt;$B$1,1,""),"")</f>
        <v/>
      </c>
    </row>
    <row r="1673" spans="3:3" x14ac:dyDescent="0.25">
      <c r="C1673" s="51" t="str">
        <f>+IFERROR(IF(Tabla4[[#This Row],[FECHA]]&gt;$B$1,1,""),"")</f>
        <v/>
      </c>
    </row>
    <row r="1674" spans="3:3" x14ac:dyDescent="0.25">
      <c r="C1674" s="51" t="str">
        <f>+IFERROR(IF(Tabla4[[#This Row],[FECHA]]&gt;$B$1,1,""),"")</f>
        <v/>
      </c>
    </row>
    <row r="1675" spans="3:3" x14ac:dyDescent="0.25">
      <c r="C1675" s="51" t="str">
        <f>+IFERROR(IF(Tabla4[[#This Row],[FECHA]]&gt;$B$1,1,""),"")</f>
        <v/>
      </c>
    </row>
    <row r="1676" spans="3:3" x14ac:dyDescent="0.25">
      <c r="C1676" s="51" t="str">
        <f>+IFERROR(IF(Tabla4[[#This Row],[FECHA]]&gt;$B$1,1,""),"")</f>
        <v/>
      </c>
    </row>
    <row r="1677" spans="3:3" x14ac:dyDescent="0.25">
      <c r="C1677" s="51" t="str">
        <f>+IFERROR(IF(Tabla4[[#This Row],[FECHA]]&gt;$B$1,1,""),"")</f>
        <v/>
      </c>
    </row>
    <row r="1678" spans="3:3" x14ac:dyDescent="0.25">
      <c r="C1678" s="51" t="str">
        <f>+IFERROR(IF(Tabla4[[#This Row],[FECHA]]&gt;$B$1,1,""),"")</f>
        <v/>
      </c>
    </row>
    <row r="1679" spans="3:3" x14ac:dyDescent="0.25">
      <c r="C1679" s="51" t="str">
        <f>+IFERROR(IF(Tabla4[[#This Row],[FECHA]]&gt;$B$1,1,""),"")</f>
        <v/>
      </c>
    </row>
    <row r="1680" spans="3:3" x14ac:dyDescent="0.25">
      <c r="C1680" s="51" t="str">
        <f>+IFERROR(IF(Tabla4[[#This Row],[FECHA]]&gt;$B$1,1,""),"")</f>
        <v/>
      </c>
    </row>
    <row r="1681" spans="3:3" x14ac:dyDescent="0.25">
      <c r="C1681" s="51" t="str">
        <f>+IFERROR(IF(Tabla4[[#This Row],[FECHA]]&gt;$B$1,1,""),"")</f>
        <v/>
      </c>
    </row>
    <row r="1682" spans="3:3" x14ac:dyDescent="0.25">
      <c r="C1682" s="51" t="str">
        <f>+IFERROR(IF(Tabla4[[#This Row],[FECHA]]&gt;$B$1,1,""),"")</f>
        <v/>
      </c>
    </row>
    <row r="1683" spans="3:3" x14ac:dyDescent="0.25">
      <c r="C1683" s="51" t="str">
        <f>+IFERROR(IF(Tabla4[[#This Row],[FECHA]]&gt;$B$1,1,""),"")</f>
        <v/>
      </c>
    </row>
    <row r="1684" spans="3:3" x14ac:dyDescent="0.25">
      <c r="C1684" s="51" t="str">
        <f>+IFERROR(IF(Tabla4[[#This Row],[FECHA]]&gt;$B$1,1,""),"")</f>
        <v/>
      </c>
    </row>
    <row r="1685" spans="3:3" x14ac:dyDescent="0.25">
      <c r="C1685" s="51" t="str">
        <f>+IFERROR(IF(Tabla4[[#This Row],[FECHA]]&gt;$B$1,1,""),"")</f>
        <v/>
      </c>
    </row>
    <row r="1686" spans="3:3" x14ac:dyDescent="0.25">
      <c r="C1686" s="51" t="str">
        <f>+IFERROR(IF(Tabla4[[#This Row],[FECHA]]&gt;$B$1,1,""),"")</f>
        <v/>
      </c>
    </row>
    <row r="1687" spans="3:3" x14ac:dyDescent="0.25">
      <c r="C1687" s="51" t="str">
        <f>+IFERROR(IF(Tabla4[[#This Row],[FECHA]]&gt;$B$1,1,""),"")</f>
        <v/>
      </c>
    </row>
    <row r="1688" spans="3:3" x14ac:dyDescent="0.25">
      <c r="C1688" s="51" t="str">
        <f>+IFERROR(IF(Tabla4[[#This Row],[FECHA]]&gt;$B$1,1,""),"")</f>
        <v/>
      </c>
    </row>
    <row r="1689" spans="3:3" x14ac:dyDescent="0.25">
      <c r="C1689" s="51" t="str">
        <f>+IFERROR(IF(Tabla4[[#This Row],[FECHA]]&gt;$B$1,1,""),"")</f>
        <v/>
      </c>
    </row>
    <row r="1690" spans="3:3" x14ac:dyDescent="0.25">
      <c r="C1690" s="51" t="str">
        <f>+IFERROR(IF(Tabla4[[#This Row],[FECHA]]&gt;$B$1,1,""),"")</f>
        <v/>
      </c>
    </row>
    <row r="1691" spans="3:3" x14ac:dyDescent="0.25">
      <c r="C1691" s="51" t="str">
        <f>+IFERROR(IF(Tabla4[[#This Row],[FECHA]]&gt;$B$1,1,""),"")</f>
        <v/>
      </c>
    </row>
    <row r="1692" spans="3:3" x14ac:dyDescent="0.25">
      <c r="C1692" s="51" t="str">
        <f>+IFERROR(IF(Tabla4[[#This Row],[FECHA]]&gt;$B$1,1,""),"")</f>
        <v/>
      </c>
    </row>
    <row r="1693" spans="3:3" x14ac:dyDescent="0.25">
      <c r="C1693" s="51" t="str">
        <f>+IFERROR(IF(Tabla4[[#This Row],[FECHA]]&gt;$B$1,1,""),"")</f>
        <v/>
      </c>
    </row>
    <row r="1694" spans="3:3" x14ac:dyDescent="0.25">
      <c r="C1694" s="51" t="str">
        <f>+IFERROR(IF(Tabla4[[#This Row],[FECHA]]&gt;$B$1,1,""),"")</f>
        <v/>
      </c>
    </row>
    <row r="1695" spans="3:3" x14ac:dyDescent="0.25">
      <c r="C1695" s="51" t="str">
        <f>+IFERROR(IF(Tabla4[[#This Row],[FECHA]]&gt;$B$1,1,""),"")</f>
        <v/>
      </c>
    </row>
    <row r="1696" spans="3:3" x14ac:dyDescent="0.25">
      <c r="C1696" s="51" t="str">
        <f>+IFERROR(IF(Tabla4[[#This Row],[FECHA]]&gt;$B$1,1,""),"")</f>
        <v/>
      </c>
    </row>
    <row r="1697" spans="3:3" x14ac:dyDescent="0.25">
      <c r="C1697" s="51" t="str">
        <f>+IFERROR(IF(Tabla4[[#This Row],[FECHA]]&gt;$B$1,1,""),"")</f>
        <v/>
      </c>
    </row>
    <row r="1698" spans="3:3" x14ac:dyDescent="0.25">
      <c r="C1698" s="51" t="str">
        <f>+IFERROR(IF(Tabla4[[#This Row],[FECHA]]&gt;$B$1,1,""),"")</f>
        <v/>
      </c>
    </row>
    <row r="1699" spans="3:3" x14ac:dyDescent="0.25">
      <c r="C1699" s="51" t="str">
        <f>+IFERROR(IF(Tabla4[[#This Row],[FECHA]]&gt;$B$1,1,""),"")</f>
        <v/>
      </c>
    </row>
    <row r="1700" spans="3:3" x14ac:dyDescent="0.25">
      <c r="C1700" s="51" t="str">
        <f>+IFERROR(IF(Tabla4[[#This Row],[FECHA]]&gt;$B$1,1,""),"")</f>
        <v/>
      </c>
    </row>
    <row r="1701" spans="3:3" x14ac:dyDescent="0.25">
      <c r="C1701" s="51" t="str">
        <f>+IFERROR(IF(Tabla4[[#This Row],[FECHA]]&gt;$B$1,1,""),"")</f>
        <v/>
      </c>
    </row>
    <row r="1702" spans="3:3" x14ac:dyDescent="0.25">
      <c r="C1702" s="51" t="str">
        <f>+IFERROR(IF(Tabla4[[#This Row],[FECHA]]&gt;$B$1,1,""),"")</f>
        <v/>
      </c>
    </row>
    <row r="1703" spans="3:3" x14ac:dyDescent="0.25">
      <c r="C1703" s="51" t="str">
        <f>+IFERROR(IF(Tabla4[[#This Row],[FECHA]]&gt;$B$1,1,""),"")</f>
        <v/>
      </c>
    </row>
    <row r="1704" spans="3:3" x14ac:dyDescent="0.25">
      <c r="C1704" s="51" t="str">
        <f>+IFERROR(IF(Tabla4[[#This Row],[FECHA]]&gt;$B$1,1,""),"")</f>
        <v/>
      </c>
    </row>
    <row r="1705" spans="3:3" x14ac:dyDescent="0.25">
      <c r="C1705" s="51" t="str">
        <f>+IFERROR(IF(Tabla4[[#This Row],[FECHA]]&gt;$B$1,1,""),"")</f>
        <v/>
      </c>
    </row>
    <row r="1706" spans="3:3" x14ac:dyDescent="0.25">
      <c r="C1706" s="51" t="str">
        <f>+IFERROR(IF(Tabla4[[#This Row],[FECHA]]&gt;$B$1,1,""),"")</f>
        <v/>
      </c>
    </row>
    <row r="1707" spans="3:3" x14ac:dyDescent="0.25">
      <c r="C1707" s="51" t="str">
        <f>+IFERROR(IF(Tabla4[[#This Row],[FECHA]]&gt;$B$1,1,""),"")</f>
        <v/>
      </c>
    </row>
    <row r="1708" spans="3:3" x14ac:dyDescent="0.25">
      <c r="C1708" s="51" t="str">
        <f>+IFERROR(IF(Tabla4[[#This Row],[FECHA]]&gt;$B$1,1,""),"")</f>
        <v/>
      </c>
    </row>
    <row r="1709" spans="3:3" x14ac:dyDescent="0.25">
      <c r="C1709" s="51" t="str">
        <f>+IFERROR(IF(Tabla4[[#This Row],[FECHA]]&gt;$B$1,1,""),"")</f>
        <v/>
      </c>
    </row>
    <row r="1710" spans="3:3" x14ac:dyDescent="0.25">
      <c r="C1710" s="51" t="str">
        <f>+IFERROR(IF(Tabla4[[#This Row],[FECHA]]&gt;$B$1,1,""),"")</f>
        <v/>
      </c>
    </row>
    <row r="1711" spans="3:3" x14ac:dyDescent="0.25">
      <c r="C1711" s="51" t="str">
        <f>+IFERROR(IF(Tabla4[[#This Row],[FECHA]]&gt;$B$1,1,""),"")</f>
        <v/>
      </c>
    </row>
    <row r="1712" spans="3:3" x14ac:dyDescent="0.25">
      <c r="C1712" s="51" t="str">
        <f>+IFERROR(IF(Tabla4[[#This Row],[FECHA]]&gt;$B$1,1,""),"")</f>
        <v/>
      </c>
    </row>
    <row r="1713" spans="3:3" x14ac:dyDescent="0.25">
      <c r="C1713" s="51" t="str">
        <f>+IFERROR(IF(Tabla4[[#This Row],[FECHA]]&gt;$B$1,1,""),"")</f>
        <v/>
      </c>
    </row>
    <row r="1714" spans="3:3" x14ac:dyDescent="0.25">
      <c r="C1714" s="51" t="str">
        <f>+IFERROR(IF(Tabla4[[#This Row],[FECHA]]&gt;$B$1,1,""),"")</f>
        <v/>
      </c>
    </row>
    <row r="1715" spans="3:3" x14ac:dyDescent="0.25">
      <c r="C1715" s="51" t="str">
        <f>+IFERROR(IF(Tabla4[[#This Row],[FECHA]]&gt;$B$1,1,""),"")</f>
        <v/>
      </c>
    </row>
    <row r="1716" spans="3:3" x14ac:dyDescent="0.25">
      <c r="C1716" s="51" t="str">
        <f>+IFERROR(IF(Tabla4[[#This Row],[FECHA]]&gt;$B$1,1,""),"")</f>
        <v/>
      </c>
    </row>
    <row r="1717" spans="3:3" x14ac:dyDescent="0.25">
      <c r="C1717" s="51" t="str">
        <f>+IFERROR(IF(Tabla4[[#This Row],[FECHA]]&gt;$B$1,1,""),"")</f>
        <v/>
      </c>
    </row>
    <row r="1718" spans="3:3" x14ac:dyDescent="0.25">
      <c r="C1718" s="51" t="str">
        <f>+IFERROR(IF(Tabla4[[#This Row],[FECHA]]&gt;$B$1,1,""),"")</f>
        <v/>
      </c>
    </row>
    <row r="1719" spans="3:3" x14ac:dyDescent="0.25">
      <c r="C1719" s="51" t="str">
        <f>+IFERROR(IF(Tabla4[[#This Row],[FECHA]]&gt;$B$1,1,""),"")</f>
        <v/>
      </c>
    </row>
    <row r="1720" spans="3:3" x14ac:dyDescent="0.25">
      <c r="C1720" s="51" t="str">
        <f>+IFERROR(IF(Tabla4[[#This Row],[FECHA]]&gt;$B$1,1,""),"")</f>
        <v/>
      </c>
    </row>
    <row r="1721" spans="3:3" x14ac:dyDescent="0.25">
      <c r="C1721" s="51" t="str">
        <f>+IFERROR(IF(Tabla4[[#This Row],[FECHA]]&gt;$B$1,1,""),"")</f>
        <v/>
      </c>
    </row>
    <row r="1722" spans="3:3" x14ac:dyDescent="0.25">
      <c r="C1722" s="51" t="str">
        <f>+IFERROR(IF(Tabla4[[#This Row],[FECHA]]&gt;$B$1,1,""),"")</f>
        <v/>
      </c>
    </row>
    <row r="1723" spans="3:3" x14ac:dyDescent="0.25">
      <c r="C1723" s="51" t="str">
        <f>+IFERROR(IF(Tabla4[[#This Row],[FECHA]]&gt;$B$1,1,""),"")</f>
        <v/>
      </c>
    </row>
    <row r="1724" spans="3:3" x14ac:dyDescent="0.25">
      <c r="C1724" s="51" t="str">
        <f>+IFERROR(IF(Tabla4[[#This Row],[FECHA]]&gt;$B$1,1,""),"")</f>
        <v/>
      </c>
    </row>
    <row r="1725" spans="3:3" x14ac:dyDescent="0.25">
      <c r="C1725" s="51" t="str">
        <f>+IFERROR(IF(Tabla4[[#This Row],[FECHA]]&gt;$B$1,1,""),"")</f>
        <v/>
      </c>
    </row>
    <row r="1726" spans="3:3" x14ac:dyDescent="0.25">
      <c r="C1726" s="51" t="str">
        <f>+IFERROR(IF(Tabla4[[#This Row],[FECHA]]&gt;$B$1,1,""),"")</f>
        <v/>
      </c>
    </row>
    <row r="1727" spans="3:3" x14ac:dyDescent="0.25">
      <c r="C1727" s="51" t="str">
        <f>+IFERROR(IF(Tabla4[[#This Row],[FECHA]]&gt;$B$1,1,""),"")</f>
        <v/>
      </c>
    </row>
    <row r="1728" spans="3:3" x14ac:dyDescent="0.25">
      <c r="C1728" s="51" t="str">
        <f>+IFERROR(IF(Tabla4[[#This Row],[FECHA]]&gt;$B$1,1,""),"")</f>
        <v/>
      </c>
    </row>
    <row r="1729" spans="3:3" x14ac:dyDescent="0.25">
      <c r="C1729" s="51" t="str">
        <f>+IFERROR(IF(Tabla4[[#This Row],[FECHA]]&gt;$B$1,1,""),"")</f>
        <v/>
      </c>
    </row>
    <row r="1730" spans="3:3" x14ac:dyDescent="0.25">
      <c r="C1730" s="51" t="str">
        <f>+IFERROR(IF(Tabla4[[#This Row],[FECHA]]&gt;$B$1,1,""),"")</f>
        <v/>
      </c>
    </row>
    <row r="1731" spans="3:3" x14ac:dyDescent="0.25">
      <c r="C1731" s="51" t="str">
        <f>+IFERROR(IF(Tabla4[[#This Row],[FECHA]]&gt;$B$1,1,""),"")</f>
        <v/>
      </c>
    </row>
    <row r="1732" spans="3:3" x14ac:dyDescent="0.25">
      <c r="C1732" s="51" t="str">
        <f>+IFERROR(IF(Tabla4[[#This Row],[FECHA]]&gt;$B$1,1,""),"")</f>
        <v/>
      </c>
    </row>
    <row r="1733" spans="3:3" x14ac:dyDescent="0.25">
      <c r="C1733" s="51" t="str">
        <f>+IFERROR(IF(Tabla4[[#This Row],[FECHA]]&gt;$B$1,1,""),"")</f>
        <v/>
      </c>
    </row>
    <row r="1734" spans="3:3" x14ac:dyDescent="0.25">
      <c r="C1734" s="51" t="str">
        <f>+IFERROR(IF(Tabla4[[#This Row],[FECHA]]&gt;$B$1,1,""),"")</f>
        <v/>
      </c>
    </row>
    <row r="1735" spans="3:3" x14ac:dyDescent="0.25">
      <c r="C1735" s="51" t="str">
        <f>+IFERROR(IF(Tabla4[[#This Row],[FECHA]]&gt;$B$1,1,""),"")</f>
        <v/>
      </c>
    </row>
    <row r="1736" spans="3:3" x14ac:dyDescent="0.25">
      <c r="C1736" s="51" t="str">
        <f>+IFERROR(IF(Tabla4[[#This Row],[FECHA]]&gt;$B$1,1,""),"")</f>
        <v/>
      </c>
    </row>
    <row r="1737" spans="3:3" x14ac:dyDescent="0.25">
      <c r="C1737" s="51" t="str">
        <f>+IFERROR(IF(Tabla4[[#This Row],[FECHA]]&gt;$B$1,1,""),"")</f>
        <v/>
      </c>
    </row>
    <row r="1738" spans="3:3" x14ac:dyDescent="0.25">
      <c r="C1738" s="51" t="str">
        <f>+IFERROR(IF(Tabla4[[#This Row],[FECHA]]&gt;$B$1,1,""),"")</f>
        <v/>
      </c>
    </row>
    <row r="1739" spans="3:3" x14ac:dyDescent="0.25">
      <c r="C1739" s="51" t="str">
        <f>+IFERROR(IF(Tabla4[[#This Row],[FECHA]]&gt;$B$1,1,""),"")</f>
        <v/>
      </c>
    </row>
    <row r="1740" spans="3:3" x14ac:dyDescent="0.25">
      <c r="C1740" s="51" t="str">
        <f>+IFERROR(IF(Tabla4[[#This Row],[FECHA]]&gt;$B$1,1,""),"")</f>
        <v/>
      </c>
    </row>
    <row r="1741" spans="3:3" x14ac:dyDescent="0.25">
      <c r="C1741" s="51" t="str">
        <f>+IFERROR(IF(Tabla4[[#This Row],[FECHA]]&gt;$B$1,1,""),"")</f>
        <v/>
      </c>
    </row>
    <row r="1742" spans="3:3" x14ac:dyDescent="0.25">
      <c r="C1742" s="51" t="str">
        <f>+IFERROR(IF(Tabla4[[#This Row],[FECHA]]&gt;$B$1,1,""),"")</f>
        <v/>
      </c>
    </row>
    <row r="1743" spans="3:3" x14ac:dyDescent="0.25">
      <c r="C1743" s="51" t="str">
        <f>+IFERROR(IF(Tabla4[[#This Row],[FECHA]]&gt;$B$1,1,""),"")</f>
        <v/>
      </c>
    </row>
    <row r="1744" spans="3:3" x14ac:dyDescent="0.25">
      <c r="C1744" s="51" t="str">
        <f>+IFERROR(IF(Tabla4[[#This Row],[FECHA]]&gt;$B$1,1,""),"")</f>
        <v/>
      </c>
    </row>
    <row r="1745" spans="3:3" x14ac:dyDescent="0.25">
      <c r="C1745" s="51" t="str">
        <f>+IFERROR(IF(Tabla4[[#This Row],[FECHA]]&gt;$B$1,1,""),"")</f>
        <v/>
      </c>
    </row>
    <row r="1746" spans="3:3" x14ac:dyDescent="0.25">
      <c r="C1746" s="51" t="str">
        <f>+IFERROR(IF(Tabla4[[#This Row],[FECHA]]&gt;$B$1,1,""),"")</f>
        <v/>
      </c>
    </row>
    <row r="1747" spans="3:3" x14ac:dyDescent="0.25">
      <c r="C1747" s="51" t="str">
        <f>+IFERROR(IF(Tabla4[[#This Row],[FECHA]]&gt;$B$1,1,""),"")</f>
        <v/>
      </c>
    </row>
    <row r="1748" spans="3:3" x14ac:dyDescent="0.25">
      <c r="C1748" s="51" t="str">
        <f>+IFERROR(IF(Tabla4[[#This Row],[FECHA]]&gt;$B$1,1,""),"")</f>
        <v/>
      </c>
    </row>
    <row r="1749" spans="3:3" x14ac:dyDescent="0.25">
      <c r="C1749" s="51" t="str">
        <f>+IFERROR(IF(Tabla4[[#This Row],[FECHA]]&gt;$B$1,1,""),"")</f>
        <v/>
      </c>
    </row>
    <row r="1750" spans="3:3" x14ac:dyDescent="0.25">
      <c r="C1750" s="51" t="str">
        <f>+IFERROR(IF(Tabla4[[#This Row],[FECHA]]&gt;$B$1,1,""),"")</f>
        <v/>
      </c>
    </row>
    <row r="1751" spans="3:3" x14ac:dyDescent="0.25">
      <c r="C1751" s="51" t="str">
        <f>+IFERROR(IF(Tabla4[[#This Row],[FECHA]]&gt;$B$1,1,""),"")</f>
        <v/>
      </c>
    </row>
    <row r="1752" spans="3:3" x14ac:dyDescent="0.25">
      <c r="C1752" s="51" t="str">
        <f>+IFERROR(IF(Tabla4[[#This Row],[FECHA]]&gt;$B$1,1,""),"")</f>
        <v/>
      </c>
    </row>
    <row r="1753" spans="3:3" x14ac:dyDescent="0.25">
      <c r="C1753" s="51" t="str">
        <f>+IFERROR(IF(Tabla4[[#This Row],[FECHA]]&gt;$B$1,1,""),"")</f>
        <v/>
      </c>
    </row>
    <row r="1754" spans="3:3" x14ac:dyDescent="0.25">
      <c r="C1754" s="51" t="str">
        <f>+IFERROR(IF(Tabla4[[#This Row],[FECHA]]&gt;$B$1,1,""),"")</f>
        <v/>
      </c>
    </row>
    <row r="1755" spans="3:3" x14ac:dyDescent="0.25">
      <c r="C1755" s="51" t="str">
        <f>+IFERROR(IF(Tabla4[[#This Row],[FECHA]]&gt;$B$1,1,""),"")</f>
        <v/>
      </c>
    </row>
    <row r="1756" spans="3:3" x14ac:dyDescent="0.25">
      <c r="C1756" s="51" t="str">
        <f>+IFERROR(IF(Tabla4[[#This Row],[FECHA]]&gt;$B$1,1,""),"")</f>
        <v/>
      </c>
    </row>
    <row r="1757" spans="3:3" x14ac:dyDescent="0.25">
      <c r="C1757" s="51" t="str">
        <f>+IFERROR(IF(Tabla4[[#This Row],[FECHA]]&gt;$B$1,1,""),"")</f>
        <v/>
      </c>
    </row>
    <row r="1758" spans="3:3" x14ac:dyDescent="0.25">
      <c r="C1758" s="51" t="str">
        <f>+IFERROR(IF(Tabla4[[#This Row],[FECHA]]&gt;$B$1,1,""),"")</f>
        <v/>
      </c>
    </row>
    <row r="1759" spans="3:3" x14ac:dyDescent="0.25">
      <c r="C1759" s="51" t="str">
        <f>+IFERROR(IF(Tabla4[[#This Row],[FECHA]]&gt;$B$1,1,""),"")</f>
        <v/>
      </c>
    </row>
    <row r="1760" spans="3:3" x14ac:dyDescent="0.25">
      <c r="C1760" s="51" t="str">
        <f>+IFERROR(IF(Tabla4[[#This Row],[FECHA]]&gt;$B$1,1,""),"")</f>
        <v/>
      </c>
    </row>
    <row r="1761" spans="3:3" x14ac:dyDescent="0.25">
      <c r="C1761" s="51" t="str">
        <f>+IFERROR(IF(Tabla4[[#This Row],[FECHA]]&gt;$B$1,1,""),"")</f>
        <v/>
      </c>
    </row>
    <row r="1762" spans="3:3" x14ac:dyDescent="0.25">
      <c r="C1762" s="51" t="str">
        <f>+IFERROR(IF(Tabla4[[#This Row],[FECHA]]&gt;$B$1,1,""),"")</f>
        <v/>
      </c>
    </row>
    <row r="1763" spans="3:3" x14ac:dyDescent="0.25">
      <c r="C1763" s="51" t="str">
        <f>+IFERROR(IF(Tabla4[[#This Row],[FECHA]]&gt;$B$1,1,""),"")</f>
        <v/>
      </c>
    </row>
    <row r="1764" spans="3:3" x14ac:dyDescent="0.25">
      <c r="C1764" s="51" t="str">
        <f>+IFERROR(IF(Tabla4[[#This Row],[FECHA]]&gt;$B$1,1,""),"")</f>
        <v/>
      </c>
    </row>
    <row r="1765" spans="3:3" x14ac:dyDescent="0.25">
      <c r="C1765" s="51" t="str">
        <f>+IFERROR(IF(Tabla4[[#This Row],[FECHA]]&gt;$B$1,1,""),"")</f>
        <v/>
      </c>
    </row>
    <row r="1766" spans="3:3" x14ac:dyDescent="0.25">
      <c r="C1766" s="51" t="str">
        <f>+IFERROR(IF(Tabla4[[#This Row],[FECHA]]&gt;$B$1,1,""),"")</f>
        <v/>
      </c>
    </row>
    <row r="1767" spans="3:3" x14ac:dyDescent="0.25">
      <c r="C1767" s="51" t="str">
        <f>+IFERROR(IF(Tabla4[[#This Row],[FECHA]]&gt;$B$1,1,""),"")</f>
        <v/>
      </c>
    </row>
    <row r="1768" spans="3:3" x14ac:dyDescent="0.25">
      <c r="C1768" s="51" t="str">
        <f>+IFERROR(IF(Tabla4[[#This Row],[FECHA]]&gt;$B$1,1,""),"")</f>
        <v/>
      </c>
    </row>
    <row r="1769" spans="3:3" x14ac:dyDescent="0.25">
      <c r="C1769" s="51" t="str">
        <f>+IFERROR(IF(Tabla4[[#This Row],[FECHA]]&gt;$B$1,1,""),"")</f>
        <v/>
      </c>
    </row>
    <row r="1770" spans="3:3" x14ac:dyDescent="0.25">
      <c r="C1770" s="51" t="str">
        <f>+IFERROR(IF(Tabla4[[#This Row],[FECHA]]&gt;$B$1,1,""),"")</f>
        <v/>
      </c>
    </row>
    <row r="1771" spans="3:3" x14ac:dyDescent="0.25">
      <c r="C1771" s="51" t="str">
        <f>+IFERROR(IF(Tabla4[[#This Row],[FECHA]]&gt;$B$1,1,""),"")</f>
        <v/>
      </c>
    </row>
    <row r="1772" spans="3:3" x14ac:dyDescent="0.25">
      <c r="C1772" s="51" t="str">
        <f>+IFERROR(IF(Tabla4[[#This Row],[FECHA]]&gt;$B$1,1,""),"")</f>
        <v/>
      </c>
    </row>
    <row r="1773" spans="3:3" x14ac:dyDescent="0.25">
      <c r="C1773" s="51" t="str">
        <f>+IFERROR(IF(Tabla4[[#This Row],[FECHA]]&gt;$B$1,1,""),"")</f>
        <v/>
      </c>
    </row>
    <row r="1774" spans="3:3" x14ac:dyDescent="0.25">
      <c r="C1774" s="51" t="str">
        <f>+IFERROR(IF(Tabla4[[#This Row],[FECHA]]&gt;$B$1,1,""),"")</f>
        <v/>
      </c>
    </row>
    <row r="1775" spans="3:3" x14ac:dyDescent="0.25">
      <c r="C1775" s="51" t="str">
        <f>+IFERROR(IF(Tabla4[[#This Row],[FECHA]]&gt;$B$1,1,""),"")</f>
        <v/>
      </c>
    </row>
    <row r="1776" spans="3:3" x14ac:dyDescent="0.25">
      <c r="C1776" s="51" t="str">
        <f>+IFERROR(IF(Tabla4[[#This Row],[FECHA]]&gt;$B$1,1,""),"")</f>
        <v/>
      </c>
    </row>
    <row r="1777" spans="3:3" x14ac:dyDescent="0.25">
      <c r="C1777" s="51" t="str">
        <f>+IFERROR(IF(Tabla4[[#This Row],[FECHA]]&gt;$B$1,1,""),"")</f>
        <v/>
      </c>
    </row>
    <row r="1778" spans="3:3" x14ac:dyDescent="0.25">
      <c r="C1778" s="51" t="str">
        <f>+IFERROR(IF(Tabla4[[#This Row],[FECHA]]&gt;$B$1,1,""),"")</f>
        <v/>
      </c>
    </row>
    <row r="1779" spans="3:3" x14ac:dyDescent="0.25">
      <c r="C1779" s="51" t="str">
        <f>+IFERROR(IF(Tabla4[[#This Row],[FECHA]]&gt;$B$1,1,""),"")</f>
        <v/>
      </c>
    </row>
    <row r="1780" spans="3:3" x14ac:dyDescent="0.25">
      <c r="C1780" s="51" t="str">
        <f>+IFERROR(IF(Tabla4[[#This Row],[FECHA]]&gt;$B$1,1,""),"")</f>
        <v/>
      </c>
    </row>
    <row r="1781" spans="3:3" x14ac:dyDescent="0.25">
      <c r="C1781" s="51" t="str">
        <f>+IFERROR(IF(Tabla4[[#This Row],[FECHA]]&gt;$B$1,1,""),"")</f>
        <v/>
      </c>
    </row>
    <row r="1782" spans="3:3" x14ac:dyDescent="0.25">
      <c r="C1782" s="51" t="str">
        <f>+IFERROR(IF(Tabla4[[#This Row],[FECHA]]&gt;$B$1,1,""),"")</f>
        <v/>
      </c>
    </row>
    <row r="1783" spans="3:3" x14ac:dyDescent="0.25">
      <c r="C1783" s="51" t="str">
        <f>+IFERROR(IF(Tabla4[[#This Row],[FECHA]]&gt;$B$1,1,""),"")</f>
        <v/>
      </c>
    </row>
    <row r="1784" spans="3:3" x14ac:dyDescent="0.25">
      <c r="C1784" s="51" t="str">
        <f>+IFERROR(IF(Tabla4[[#This Row],[FECHA]]&gt;$B$1,1,""),"")</f>
        <v/>
      </c>
    </row>
    <row r="1785" spans="3:3" x14ac:dyDescent="0.25">
      <c r="C1785" s="51" t="str">
        <f>+IFERROR(IF(Tabla4[[#This Row],[FECHA]]&gt;$B$1,1,""),"")</f>
        <v/>
      </c>
    </row>
    <row r="1786" spans="3:3" x14ac:dyDescent="0.25">
      <c r="C1786" s="51" t="str">
        <f>+IFERROR(IF(Tabla4[[#This Row],[FECHA]]&gt;$B$1,1,""),"")</f>
        <v/>
      </c>
    </row>
    <row r="1787" spans="3:3" x14ac:dyDescent="0.25">
      <c r="C1787" s="51" t="str">
        <f>+IFERROR(IF(Tabla4[[#This Row],[FECHA]]&gt;$B$1,1,""),"")</f>
        <v/>
      </c>
    </row>
    <row r="1788" spans="3:3" x14ac:dyDescent="0.25">
      <c r="C1788" s="51" t="str">
        <f>+IFERROR(IF(Tabla4[[#This Row],[FECHA]]&gt;$B$1,1,""),"")</f>
        <v/>
      </c>
    </row>
    <row r="1789" spans="3:3" x14ac:dyDescent="0.25">
      <c r="C1789" s="51" t="str">
        <f>+IFERROR(IF(Tabla4[[#This Row],[FECHA]]&gt;$B$1,1,""),"")</f>
        <v/>
      </c>
    </row>
    <row r="1790" spans="3:3" x14ac:dyDescent="0.25">
      <c r="C1790" s="51" t="str">
        <f>+IFERROR(IF(Tabla4[[#This Row],[FECHA]]&gt;$B$1,1,""),"")</f>
        <v/>
      </c>
    </row>
    <row r="1791" spans="3:3" x14ac:dyDescent="0.25">
      <c r="C1791" s="51" t="str">
        <f>+IFERROR(IF(Tabla4[[#This Row],[FECHA]]&gt;$B$1,1,""),"")</f>
        <v/>
      </c>
    </row>
    <row r="1792" spans="3:3" x14ac:dyDescent="0.25">
      <c r="C1792" s="51" t="str">
        <f>+IFERROR(IF(Tabla4[[#This Row],[FECHA]]&gt;$B$1,1,""),"")</f>
        <v/>
      </c>
    </row>
    <row r="1793" spans="3:3" x14ac:dyDescent="0.25">
      <c r="C1793" s="51" t="str">
        <f>+IFERROR(IF(Tabla4[[#This Row],[FECHA]]&gt;$B$1,1,""),"")</f>
        <v/>
      </c>
    </row>
    <row r="1794" spans="3:3" x14ac:dyDescent="0.25">
      <c r="C1794" s="51" t="str">
        <f>+IFERROR(IF(Tabla4[[#This Row],[FECHA]]&gt;$B$1,1,""),"")</f>
        <v/>
      </c>
    </row>
    <row r="1795" spans="3:3" x14ac:dyDescent="0.25">
      <c r="C1795" s="51" t="str">
        <f>+IFERROR(IF(Tabla4[[#This Row],[FECHA]]&gt;$B$1,1,""),"")</f>
        <v/>
      </c>
    </row>
    <row r="1796" spans="3:3" x14ac:dyDescent="0.25">
      <c r="C1796" s="51" t="str">
        <f>+IFERROR(IF(Tabla4[[#This Row],[FECHA]]&gt;$B$1,1,""),"")</f>
        <v/>
      </c>
    </row>
    <row r="1797" spans="3:3" x14ac:dyDescent="0.25">
      <c r="C1797" s="51" t="str">
        <f>+IFERROR(IF(Tabla4[[#This Row],[FECHA]]&gt;$B$1,1,""),"")</f>
        <v/>
      </c>
    </row>
    <row r="1798" spans="3:3" x14ac:dyDescent="0.25">
      <c r="C1798" s="51" t="str">
        <f>+IFERROR(IF(Tabla4[[#This Row],[FECHA]]&gt;$B$1,1,""),"")</f>
        <v/>
      </c>
    </row>
    <row r="1799" spans="3:3" x14ac:dyDescent="0.25">
      <c r="C1799" s="51" t="str">
        <f>+IFERROR(IF(Tabla4[[#This Row],[FECHA]]&gt;$B$1,1,""),"")</f>
        <v/>
      </c>
    </row>
    <row r="1800" spans="3:3" x14ac:dyDescent="0.25">
      <c r="C1800" s="51" t="str">
        <f>+IFERROR(IF(Tabla4[[#This Row],[FECHA]]&gt;$B$1,1,""),"")</f>
        <v/>
      </c>
    </row>
    <row r="1801" spans="3:3" x14ac:dyDescent="0.25">
      <c r="C1801" s="51" t="str">
        <f>+IFERROR(IF(Tabla4[[#This Row],[FECHA]]&gt;$B$1,1,""),"")</f>
        <v/>
      </c>
    </row>
    <row r="1802" spans="3:3" x14ac:dyDescent="0.25">
      <c r="C1802" s="51" t="str">
        <f>+IFERROR(IF(Tabla4[[#This Row],[FECHA]]&gt;$B$1,1,""),"")</f>
        <v/>
      </c>
    </row>
    <row r="1803" spans="3:3" x14ac:dyDescent="0.25">
      <c r="C1803" s="51" t="str">
        <f>+IFERROR(IF(Tabla4[[#This Row],[FECHA]]&gt;$B$1,1,""),"")</f>
        <v/>
      </c>
    </row>
    <row r="1804" spans="3:3" x14ac:dyDescent="0.25">
      <c r="C1804" s="51" t="str">
        <f>+IFERROR(IF(Tabla4[[#This Row],[FECHA]]&gt;$B$1,1,""),"")</f>
        <v/>
      </c>
    </row>
    <row r="1805" spans="3:3" x14ac:dyDescent="0.25">
      <c r="C1805" s="51" t="str">
        <f>+IFERROR(IF(Tabla4[[#This Row],[FECHA]]&gt;$B$1,1,""),"")</f>
        <v/>
      </c>
    </row>
    <row r="1806" spans="3:3" x14ac:dyDescent="0.25">
      <c r="C1806" s="51" t="str">
        <f>+IFERROR(IF(Tabla4[[#This Row],[FECHA]]&gt;$B$1,1,""),"")</f>
        <v/>
      </c>
    </row>
    <row r="1807" spans="3:3" x14ac:dyDescent="0.25">
      <c r="C1807" s="51" t="str">
        <f>+IFERROR(IF(Tabla4[[#This Row],[FECHA]]&gt;$B$1,1,""),"")</f>
        <v/>
      </c>
    </row>
    <row r="1808" spans="3:3" x14ac:dyDescent="0.25">
      <c r="C1808" s="51" t="str">
        <f>+IFERROR(IF(Tabla4[[#This Row],[FECHA]]&gt;$B$1,1,""),"")</f>
        <v/>
      </c>
    </row>
    <row r="1809" spans="3:3" x14ac:dyDescent="0.25">
      <c r="C1809" s="51" t="str">
        <f>+IFERROR(IF(Tabla4[[#This Row],[FECHA]]&gt;$B$1,1,""),"")</f>
        <v/>
      </c>
    </row>
    <row r="1810" spans="3:3" x14ac:dyDescent="0.25">
      <c r="C1810" s="51" t="str">
        <f>+IFERROR(IF(Tabla4[[#This Row],[FECHA]]&gt;$B$1,1,""),"")</f>
        <v/>
      </c>
    </row>
    <row r="1811" spans="3:3" x14ac:dyDescent="0.25">
      <c r="C1811" s="51" t="str">
        <f>+IFERROR(IF(Tabla4[[#This Row],[FECHA]]&gt;$B$1,1,""),"")</f>
        <v/>
      </c>
    </row>
    <row r="1812" spans="3:3" x14ac:dyDescent="0.25">
      <c r="C1812" s="51" t="str">
        <f>+IFERROR(IF(Tabla4[[#This Row],[FECHA]]&gt;$B$1,1,""),"")</f>
        <v/>
      </c>
    </row>
    <row r="1813" spans="3:3" x14ac:dyDescent="0.25">
      <c r="C1813" s="51" t="str">
        <f>+IFERROR(IF(Tabla4[[#This Row],[FECHA]]&gt;$B$1,1,""),"")</f>
        <v/>
      </c>
    </row>
    <row r="1814" spans="3:3" x14ac:dyDescent="0.25">
      <c r="C1814" s="51" t="str">
        <f>+IFERROR(IF(Tabla4[[#This Row],[FECHA]]&gt;$B$1,1,""),"")</f>
        <v/>
      </c>
    </row>
    <row r="1815" spans="3:3" x14ac:dyDescent="0.25">
      <c r="C1815" s="51" t="str">
        <f>+IFERROR(IF(Tabla4[[#This Row],[FECHA]]&gt;$B$1,1,""),"")</f>
        <v/>
      </c>
    </row>
    <row r="1816" spans="3:3" x14ac:dyDescent="0.25">
      <c r="C1816" s="51" t="str">
        <f>+IFERROR(IF(Tabla4[[#This Row],[FECHA]]&gt;$B$1,1,""),"")</f>
        <v/>
      </c>
    </row>
    <row r="1817" spans="3:3" x14ac:dyDescent="0.25">
      <c r="C1817" s="51" t="str">
        <f>+IFERROR(IF(Tabla4[[#This Row],[FECHA]]&gt;$B$1,1,""),"")</f>
        <v/>
      </c>
    </row>
    <row r="1818" spans="3:3" x14ac:dyDescent="0.25">
      <c r="C1818" s="51" t="str">
        <f>+IFERROR(IF(Tabla4[[#This Row],[FECHA]]&gt;$B$1,1,""),"")</f>
        <v/>
      </c>
    </row>
    <row r="1819" spans="3:3" x14ac:dyDescent="0.25">
      <c r="C1819" s="51" t="str">
        <f>+IFERROR(IF(Tabla4[[#This Row],[FECHA]]&gt;$B$1,1,""),"")</f>
        <v/>
      </c>
    </row>
    <row r="1820" spans="3:3" x14ac:dyDescent="0.25">
      <c r="C1820" s="51" t="str">
        <f>+IFERROR(IF(Tabla4[[#This Row],[FECHA]]&gt;$B$1,1,""),"")</f>
        <v/>
      </c>
    </row>
    <row r="1821" spans="3:3" x14ac:dyDescent="0.25">
      <c r="C1821" s="51" t="str">
        <f>+IFERROR(IF(Tabla4[[#This Row],[FECHA]]&gt;$B$1,1,""),"")</f>
        <v/>
      </c>
    </row>
    <row r="1822" spans="3:3" x14ac:dyDescent="0.25">
      <c r="C1822" s="51" t="str">
        <f>+IFERROR(IF(Tabla4[[#This Row],[FECHA]]&gt;$B$1,1,""),"")</f>
        <v/>
      </c>
    </row>
    <row r="1823" spans="3:3" x14ac:dyDescent="0.25">
      <c r="C1823" s="51" t="str">
        <f>+IFERROR(IF(Tabla4[[#This Row],[FECHA]]&gt;$B$1,1,""),"")</f>
        <v/>
      </c>
    </row>
    <row r="1824" spans="3:3" x14ac:dyDescent="0.25">
      <c r="C1824" s="51" t="str">
        <f>+IFERROR(IF(Tabla4[[#This Row],[FECHA]]&gt;$B$1,1,""),"")</f>
        <v/>
      </c>
    </row>
    <row r="1825" spans="3:3" x14ac:dyDescent="0.25">
      <c r="C1825" s="51" t="str">
        <f>+IFERROR(IF(Tabla4[[#This Row],[FECHA]]&gt;$B$1,1,""),"")</f>
        <v/>
      </c>
    </row>
    <row r="1826" spans="3:3" x14ac:dyDescent="0.25">
      <c r="C1826" s="51" t="str">
        <f>+IFERROR(IF(Tabla4[[#This Row],[FECHA]]&gt;$B$1,1,""),"")</f>
        <v/>
      </c>
    </row>
    <row r="1827" spans="3:3" x14ac:dyDescent="0.25">
      <c r="C1827" s="51" t="str">
        <f>+IFERROR(IF(Tabla4[[#This Row],[FECHA]]&gt;$B$1,1,""),"")</f>
        <v/>
      </c>
    </row>
    <row r="1828" spans="3:3" x14ac:dyDescent="0.25">
      <c r="C1828" s="51" t="str">
        <f>+IFERROR(IF(Tabla4[[#This Row],[FECHA]]&gt;$B$1,1,""),"")</f>
        <v/>
      </c>
    </row>
    <row r="1829" spans="3:3" x14ac:dyDescent="0.25">
      <c r="C1829" s="51" t="str">
        <f>+IFERROR(IF(Tabla4[[#This Row],[FECHA]]&gt;$B$1,1,""),"")</f>
        <v/>
      </c>
    </row>
    <row r="1830" spans="3:3" x14ac:dyDescent="0.25">
      <c r="C1830" s="51" t="str">
        <f>+IFERROR(IF(Tabla4[[#This Row],[FECHA]]&gt;$B$1,1,""),"")</f>
        <v/>
      </c>
    </row>
    <row r="1831" spans="3:3" x14ac:dyDescent="0.25">
      <c r="C1831" s="51" t="str">
        <f>+IFERROR(IF(Tabla4[[#This Row],[FECHA]]&gt;$B$1,1,""),"")</f>
        <v/>
      </c>
    </row>
    <row r="1832" spans="3:3" x14ac:dyDescent="0.25">
      <c r="C1832" s="51" t="str">
        <f>+IFERROR(IF(Tabla4[[#This Row],[FECHA]]&gt;$B$1,1,""),"")</f>
        <v/>
      </c>
    </row>
    <row r="1833" spans="3:3" x14ac:dyDescent="0.25">
      <c r="C1833" s="51" t="str">
        <f>+IFERROR(IF(Tabla4[[#This Row],[FECHA]]&gt;$B$1,1,""),"")</f>
        <v/>
      </c>
    </row>
    <row r="1834" spans="3:3" x14ac:dyDescent="0.25">
      <c r="C1834" s="51" t="str">
        <f>+IFERROR(IF(Tabla4[[#This Row],[FECHA]]&gt;$B$1,1,""),"")</f>
        <v/>
      </c>
    </row>
    <row r="1835" spans="3:3" x14ac:dyDescent="0.25">
      <c r="C1835" s="51" t="str">
        <f>+IFERROR(IF(Tabla4[[#This Row],[FECHA]]&gt;$B$1,1,""),"")</f>
        <v/>
      </c>
    </row>
    <row r="1836" spans="3:3" x14ac:dyDescent="0.25">
      <c r="C1836" s="51" t="str">
        <f>+IFERROR(IF(Tabla4[[#This Row],[FECHA]]&gt;$B$1,1,""),"")</f>
        <v/>
      </c>
    </row>
    <row r="1837" spans="3:3" x14ac:dyDescent="0.25">
      <c r="C1837" s="51" t="str">
        <f>+IFERROR(IF(Tabla4[[#This Row],[FECHA]]&gt;$B$1,1,""),"")</f>
        <v/>
      </c>
    </row>
    <row r="1838" spans="3:3" x14ac:dyDescent="0.25">
      <c r="C1838" s="51" t="str">
        <f>+IFERROR(IF(Tabla4[[#This Row],[FECHA]]&gt;$B$1,1,""),"")</f>
        <v/>
      </c>
    </row>
    <row r="1839" spans="3:3" x14ac:dyDescent="0.25">
      <c r="C1839" s="51" t="str">
        <f>+IFERROR(IF(Tabla4[[#This Row],[FECHA]]&gt;$B$1,1,""),"")</f>
        <v/>
      </c>
    </row>
    <row r="1840" spans="3:3" x14ac:dyDescent="0.25">
      <c r="C1840" s="51" t="str">
        <f>+IFERROR(IF(Tabla4[[#This Row],[FECHA]]&gt;$B$1,1,""),"")</f>
        <v/>
      </c>
    </row>
    <row r="1841" spans="3:3" x14ac:dyDescent="0.25">
      <c r="C1841" s="51" t="str">
        <f>+IFERROR(IF(Tabla4[[#This Row],[FECHA]]&gt;$B$1,1,""),"")</f>
        <v/>
      </c>
    </row>
    <row r="1842" spans="3:3" x14ac:dyDescent="0.25">
      <c r="C1842" s="51" t="str">
        <f>+IFERROR(IF(Tabla4[[#This Row],[FECHA]]&gt;$B$1,1,""),"")</f>
        <v/>
      </c>
    </row>
    <row r="1843" spans="3:3" x14ac:dyDescent="0.25">
      <c r="C1843" s="51" t="str">
        <f>+IFERROR(IF(Tabla4[[#This Row],[FECHA]]&gt;$B$1,1,""),"")</f>
        <v/>
      </c>
    </row>
    <row r="1844" spans="3:3" x14ac:dyDescent="0.25">
      <c r="C1844" s="51" t="str">
        <f>+IFERROR(IF(Tabla4[[#This Row],[FECHA]]&gt;$B$1,1,""),"")</f>
        <v/>
      </c>
    </row>
    <row r="1845" spans="3:3" x14ac:dyDescent="0.25">
      <c r="C1845" s="51" t="str">
        <f>+IFERROR(IF(Tabla4[[#This Row],[FECHA]]&gt;$B$1,1,""),"")</f>
        <v/>
      </c>
    </row>
    <row r="1846" spans="3:3" x14ac:dyDescent="0.25">
      <c r="C1846" s="51" t="str">
        <f>+IFERROR(IF(Tabla4[[#This Row],[FECHA]]&gt;$B$1,1,""),"")</f>
        <v/>
      </c>
    </row>
    <row r="1847" spans="3:3" x14ac:dyDescent="0.25">
      <c r="C1847" s="51" t="str">
        <f>+IFERROR(IF(Tabla4[[#This Row],[FECHA]]&gt;$B$1,1,""),"")</f>
        <v/>
      </c>
    </row>
    <row r="1848" spans="3:3" x14ac:dyDescent="0.25">
      <c r="C1848" s="51" t="str">
        <f>+IFERROR(IF(Tabla4[[#This Row],[FECHA]]&gt;$B$1,1,""),"")</f>
        <v/>
      </c>
    </row>
    <row r="1849" spans="3:3" x14ac:dyDescent="0.25">
      <c r="C1849" s="51" t="str">
        <f>+IFERROR(IF(Tabla4[[#This Row],[FECHA]]&gt;$B$1,1,""),"")</f>
        <v/>
      </c>
    </row>
    <row r="1850" spans="3:3" x14ac:dyDescent="0.25">
      <c r="C1850" s="51" t="str">
        <f>+IFERROR(IF(Tabla4[[#This Row],[FECHA]]&gt;$B$1,1,""),"")</f>
        <v/>
      </c>
    </row>
    <row r="1851" spans="3:3" x14ac:dyDescent="0.25">
      <c r="C1851" s="51" t="str">
        <f>+IFERROR(IF(Tabla4[[#This Row],[FECHA]]&gt;$B$1,1,""),"")</f>
        <v/>
      </c>
    </row>
    <row r="1852" spans="3:3" x14ac:dyDescent="0.25">
      <c r="C1852" s="51" t="str">
        <f>+IFERROR(IF(Tabla4[[#This Row],[FECHA]]&gt;$B$1,1,""),"")</f>
        <v/>
      </c>
    </row>
    <row r="1853" spans="3:3" x14ac:dyDescent="0.25">
      <c r="C1853" s="51" t="str">
        <f>+IFERROR(IF(Tabla4[[#This Row],[FECHA]]&gt;$B$1,1,""),"")</f>
        <v/>
      </c>
    </row>
    <row r="1854" spans="3:3" x14ac:dyDescent="0.25">
      <c r="C1854" s="51" t="str">
        <f>+IFERROR(IF(Tabla4[[#This Row],[FECHA]]&gt;$B$1,1,""),"")</f>
        <v/>
      </c>
    </row>
    <row r="1855" spans="3:3" x14ac:dyDescent="0.25">
      <c r="C1855" s="51" t="str">
        <f>+IFERROR(IF(Tabla4[[#This Row],[FECHA]]&gt;$B$1,1,""),"")</f>
        <v/>
      </c>
    </row>
    <row r="1856" spans="3:3" x14ac:dyDescent="0.25">
      <c r="C1856" s="51" t="str">
        <f>+IFERROR(IF(Tabla4[[#This Row],[FECHA]]&gt;$B$1,1,""),"")</f>
        <v/>
      </c>
    </row>
    <row r="1857" spans="3:3" x14ac:dyDescent="0.25">
      <c r="C1857" s="51" t="str">
        <f>+IFERROR(IF(Tabla4[[#This Row],[FECHA]]&gt;$B$1,1,""),"")</f>
        <v/>
      </c>
    </row>
    <row r="1858" spans="3:3" x14ac:dyDescent="0.25">
      <c r="C1858" s="51" t="str">
        <f>+IFERROR(IF(Tabla4[[#This Row],[FECHA]]&gt;$B$1,1,""),"")</f>
        <v/>
      </c>
    </row>
    <row r="1859" spans="3:3" x14ac:dyDescent="0.25">
      <c r="C1859" s="51" t="str">
        <f>+IFERROR(IF(Tabla4[[#This Row],[FECHA]]&gt;$B$1,1,""),"")</f>
        <v/>
      </c>
    </row>
    <row r="1860" spans="3:3" x14ac:dyDescent="0.25">
      <c r="C1860" s="51" t="str">
        <f>+IFERROR(IF(Tabla4[[#This Row],[FECHA]]&gt;$B$1,1,""),"")</f>
        <v/>
      </c>
    </row>
    <row r="1861" spans="3:3" x14ac:dyDescent="0.25">
      <c r="C1861" s="51" t="str">
        <f>+IFERROR(IF(Tabla4[[#This Row],[FECHA]]&gt;$B$1,1,""),"")</f>
        <v/>
      </c>
    </row>
    <row r="1862" spans="3:3" x14ac:dyDescent="0.25">
      <c r="C1862" s="51" t="str">
        <f>+IFERROR(IF(Tabla4[[#This Row],[FECHA]]&gt;$B$1,1,""),"")</f>
        <v/>
      </c>
    </row>
    <row r="1863" spans="3:3" x14ac:dyDescent="0.25">
      <c r="C1863" s="51" t="str">
        <f>+IFERROR(IF(Tabla4[[#This Row],[FECHA]]&gt;$B$1,1,""),"")</f>
        <v/>
      </c>
    </row>
    <row r="1864" spans="3:3" x14ac:dyDescent="0.25">
      <c r="C1864" s="51" t="str">
        <f>+IFERROR(IF(Tabla4[[#This Row],[FECHA]]&gt;$B$1,1,""),"")</f>
        <v/>
      </c>
    </row>
    <row r="1865" spans="3:3" x14ac:dyDescent="0.25">
      <c r="C1865" s="51" t="str">
        <f>+IFERROR(IF(Tabla4[[#This Row],[FECHA]]&gt;$B$1,1,""),"")</f>
        <v/>
      </c>
    </row>
    <row r="1866" spans="3:3" x14ac:dyDescent="0.25">
      <c r="C1866" s="51" t="str">
        <f>+IFERROR(IF(Tabla4[[#This Row],[FECHA]]&gt;$B$1,1,""),"")</f>
        <v/>
      </c>
    </row>
    <row r="1867" spans="3:3" x14ac:dyDescent="0.25">
      <c r="C1867" s="51" t="str">
        <f>+IFERROR(IF(Tabla4[[#This Row],[FECHA]]&gt;$B$1,1,""),"")</f>
        <v/>
      </c>
    </row>
    <row r="1868" spans="3:3" x14ac:dyDescent="0.25">
      <c r="C1868" s="51" t="str">
        <f>+IFERROR(IF(Tabla4[[#This Row],[FECHA]]&gt;$B$1,1,""),"")</f>
        <v/>
      </c>
    </row>
    <row r="1869" spans="3:3" x14ac:dyDescent="0.25">
      <c r="C1869" s="51" t="str">
        <f>+IFERROR(IF(Tabla4[[#This Row],[FECHA]]&gt;$B$1,1,""),"")</f>
        <v/>
      </c>
    </row>
    <row r="1870" spans="3:3" x14ac:dyDescent="0.25">
      <c r="C1870" s="51" t="str">
        <f>+IFERROR(IF(Tabla4[[#This Row],[FECHA]]&gt;$B$1,1,""),"")</f>
        <v/>
      </c>
    </row>
    <row r="1871" spans="3:3" x14ac:dyDescent="0.25">
      <c r="C1871" s="51" t="str">
        <f>+IFERROR(IF(Tabla4[[#This Row],[FECHA]]&gt;$B$1,1,""),"")</f>
        <v/>
      </c>
    </row>
    <row r="1872" spans="3:3" x14ac:dyDescent="0.25">
      <c r="C1872" s="51" t="str">
        <f>+IFERROR(IF(Tabla4[[#This Row],[FECHA]]&gt;$B$1,1,""),"")</f>
        <v/>
      </c>
    </row>
    <row r="1873" spans="3:3" x14ac:dyDescent="0.25">
      <c r="C1873" s="51" t="str">
        <f>+IFERROR(IF(Tabla4[[#This Row],[FECHA]]&gt;$B$1,1,""),"")</f>
        <v/>
      </c>
    </row>
    <row r="1874" spans="3:3" x14ac:dyDescent="0.25">
      <c r="C1874" s="51" t="str">
        <f>+IFERROR(IF(Tabla4[[#This Row],[FECHA]]&gt;$B$1,1,""),"")</f>
        <v/>
      </c>
    </row>
    <row r="1875" spans="3:3" x14ac:dyDescent="0.25">
      <c r="C1875" s="51" t="str">
        <f>+IFERROR(IF(Tabla4[[#This Row],[FECHA]]&gt;$B$1,1,""),"")</f>
        <v/>
      </c>
    </row>
    <row r="1876" spans="3:3" x14ac:dyDescent="0.25">
      <c r="C1876" s="51" t="str">
        <f>+IFERROR(IF(Tabla4[[#This Row],[FECHA]]&gt;$B$1,1,""),"")</f>
        <v/>
      </c>
    </row>
    <row r="1877" spans="3:3" x14ac:dyDescent="0.25">
      <c r="C1877" s="51" t="str">
        <f>+IFERROR(IF(Tabla4[[#This Row],[FECHA]]&gt;$B$1,1,""),"")</f>
        <v/>
      </c>
    </row>
    <row r="1878" spans="3:3" x14ac:dyDescent="0.25">
      <c r="C1878" s="51" t="str">
        <f>+IFERROR(IF(Tabla4[[#This Row],[FECHA]]&gt;$B$1,1,""),"")</f>
        <v/>
      </c>
    </row>
    <row r="1879" spans="3:3" x14ac:dyDescent="0.25">
      <c r="C1879" s="51" t="str">
        <f>+IFERROR(IF(Tabla4[[#This Row],[FECHA]]&gt;$B$1,1,""),"")</f>
        <v/>
      </c>
    </row>
    <row r="1880" spans="3:3" x14ac:dyDescent="0.25">
      <c r="C1880" s="51" t="str">
        <f>+IFERROR(IF(Tabla4[[#This Row],[FECHA]]&gt;$B$1,1,""),"")</f>
        <v/>
      </c>
    </row>
    <row r="1881" spans="3:3" x14ac:dyDescent="0.25">
      <c r="C1881" s="51" t="str">
        <f>+IFERROR(IF(Tabla4[[#This Row],[FECHA]]&gt;$B$1,1,""),"")</f>
        <v/>
      </c>
    </row>
    <row r="1882" spans="3:3" x14ac:dyDescent="0.25">
      <c r="C1882" s="51" t="str">
        <f>+IFERROR(IF(Tabla4[[#This Row],[FECHA]]&gt;$B$1,1,""),"")</f>
        <v/>
      </c>
    </row>
    <row r="1883" spans="3:3" x14ac:dyDescent="0.25">
      <c r="C1883" s="51" t="str">
        <f>+IFERROR(IF(Tabla4[[#This Row],[FECHA]]&gt;$B$1,1,""),"")</f>
        <v/>
      </c>
    </row>
    <row r="1884" spans="3:3" x14ac:dyDescent="0.25">
      <c r="C1884" s="51" t="str">
        <f>+IFERROR(IF(Tabla4[[#This Row],[FECHA]]&gt;$B$1,1,""),"")</f>
        <v/>
      </c>
    </row>
    <row r="1885" spans="3:3" x14ac:dyDescent="0.25">
      <c r="C1885" s="51" t="str">
        <f>+IFERROR(IF(Tabla4[[#This Row],[FECHA]]&gt;$B$1,1,""),"")</f>
        <v/>
      </c>
    </row>
    <row r="1886" spans="3:3" x14ac:dyDescent="0.25">
      <c r="C1886" s="51" t="str">
        <f>+IFERROR(IF(Tabla4[[#This Row],[FECHA]]&gt;$B$1,1,""),"")</f>
        <v/>
      </c>
    </row>
    <row r="1887" spans="3:3" x14ac:dyDescent="0.25">
      <c r="C1887" s="51" t="str">
        <f>+IFERROR(IF(Tabla4[[#This Row],[FECHA]]&gt;$B$1,1,""),"")</f>
        <v/>
      </c>
    </row>
    <row r="1888" spans="3:3" x14ac:dyDescent="0.25">
      <c r="C1888" s="51" t="str">
        <f>+IFERROR(IF(Tabla4[[#This Row],[FECHA]]&gt;$B$1,1,""),"")</f>
        <v/>
      </c>
    </row>
    <row r="1889" spans="3:3" x14ac:dyDescent="0.25">
      <c r="C1889" s="51" t="str">
        <f>+IFERROR(IF(Tabla4[[#This Row],[FECHA]]&gt;$B$1,1,""),"")</f>
        <v/>
      </c>
    </row>
    <row r="1890" spans="3:3" x14ac:dyDescent="0.25">
      <c r="C1890" s="51" t="str">
        <f>+IFERROR(IF(Tabla4[[#This Row],[FECHA]]&gt;$B$1,1,""),"")</f>
        <v/>
      </c>
    </row>
    <row r="1891" spans="3:3" x14ac:dyDescent="0.25">
      <c r="C1891" s="51" t="str">
        <f>+IFERROR(IF(Tabla4[[#This Row],[FECHA]]&gt;$B$1,1,""),"")</f>
        <v/>
      </c>
    </row>
    <row r="1892" spans="3:3" x14ac:dyDescent="0.25">
      <c r="C1892" s="51" t="str">
        <f>+IFERROR(IF(Tabla4[[#This Row],[FECHA]]&gt;$B$1,1,""),"")</f>
        <v/>
      </c>
    </row>
    <row r="1893" spans="3:3" x14ac:dyDescent="0.25">
      <c r="C1893" s="51" t="str">
        <f>+IFERROR(IF(Tabla4[[#This Row],[FECHA]]&gt;$B$1,1,""),"")</f>
        <v/>
      </c>
    </row>
    <row r="1894" spans="3:3" x14ac:dyDescent="0.25">
      <c r="C1894" s="51" t="str">
        <f>+IFERROR(IF(Tabla4[[#This Row],[FECHA]]&gt;$B$1,1,""),"")</f>
        <v/>
      </c>
    </row>
    <row r="1895" spans="3:3" x14ac:dyDescent="0.25">
      <c r="C1895" s="51" t="str">
        <f>+IFERROR(IF(Tabla4[[#This Row],[FECHA]]&gt;$B$1,1,""),"")</f>
        <v/>
      </c>
    </row>
    <row r="1896" spans="3:3" x14ac:dyDescent="0.25">
      <c r="C1896" s="51" t="str">
        <f>+IFERROR(IF(Tabla4[[#This Row],[FECHA]]&gt;$B$1,1,""),"")</f>
        <v/>
      </c>
    </row>
    <row r="1897" spans="3:3" x14ac:dyDescent="0.25">
      <c r="C1897" s="51" t="str">
        <f>+IFERROR(IF(Tabla4[[#This Row],[FECHA]]&gt;$B$1,1,""),"")</f>
        <v/>
      </c>
    </row>
    <row r="1898" spans="3:3" x14ac:dyDescent="0.25">
      <c r="C1898" s="51" t="str">
        <f>+IFERROR(IF(Tabla4[[#This Row],[FECHA]]&gt;$B$1,1,""),"")</f>
        <v/>
      </c>
    </row>
    <row r="1899" spans="3:3" x14ac:dyDescent="0.25">
      <c r="C1899" s="51" t="str">
        <f>+IFERROR(IF(Tabla4[[#This Row],[FECHA]]&gt;$B$1,1,""),"")</f>
        <v/>
      </c>
    </row>
    <row r="1900" spans="3:3" x14ac:dyDescent="0.25">
      <c r="C1900" s="51" t="str">
        <f>+IFERROR(IF(Tabla4[[#This Row],[FECHA]]&gt;$B$1,1,""),"")</f>
        <v/>
      </c>
    </row>
    <row r="1901" spans="3:3" x14ac:dyDescent="0.25">
      <c r="C1901" s="51" t="str">
        <f>+IFERROR(IF(Tabla4[[#This Row],[FECHA]]&gt;$B$1,1,""),"")</f>
        <v/>
      </c>
    </row>
    <row r="1902" spans="3:3" x14ac:dyDescent="0.25">
      <c r="C1902" s="51" t="str">
        <f>+IFERROR(IF(Tabla4[[#This Row],[FECHA]]&gt;$B$1,1,""),"")</f>
        <v/>
      </c>
    </row>
    <row r="1903" spans="3:3" x14ac:dyDescent="0.25">
      <c r="C1903" s="51" t="str">
        <f>+IFERROR(IF(Tabla4[[#This Row],[FECHA]]&gt;$B$1,1,""),"")</f>
        <v/>
      </c>
    </row>
    <row r="1904" spans="3:3" x14ac:dyDescent="0.25">
      <c r="C1904" s="51" t="str">
        <f>+IFERROR(IF(Tabla4[[#This Row],[FECHA]]&gt;$B$1,1,""),"")</f>
        <v/>
      </c>
    </row>
    <row r="1905" spans="3:3" x14ac:dyDescent="0.25">
      <c r="C1905" s="51" t="str">
        <f>+IFERROR(IF(Tabla4[[#This Row],[FECHA]]&gt;$B$1,1,""),"")</f>
        <v/>
      </c>
    </row>
    <row r="1906" spans="3:3" x14ac:dyDescent="0.25">
      <c r="C1906" s="51" t="str">
        <f>+IFERROR(IF(Tabla4[[#This Row],[FECHA]]&gt;$B$1,1,""),"")</f>
        <v/>
      </c>
    </row>
    <row r="1907" spans="3:3" x14ac:dyDescent="0.25">
      <c r="C1907" s="51" t="str">
        <f>+IFERROR(IF(Tabla4[[#This Row],[FECHA]]&gt;$B$1,1,""),"")</f>
        <v/>
      </c>
    </row>
    <row r="1908" spans="3:3" x14ac:dyDescent="0.25">
      <c r="C1908" s="51" t="str">
        <f>+IFERROR(IF(Tabla4[[#This Row],[FECHA]]&gt;$B$1,1,""),"")</f>
        <v/>
      </c>
    </row>
    <row r="1909" spans="3:3" x14ac:dyDescent="0.25">
      <c r="C1909" s="51" t="str">
        <f>+IFERROR(IF(Tabla4[[#This Row],[FECHA]]&gt;$B$1,1,""),"")</f>
        <v/>
      </c>
    </row>
    <row r="1910" spans="3:3" x14ac:dyDescent="0.25">
      <c r="C1910" s="51" t="str">
        <f>+IFERROR(IF(Tabla4[[#This Row],[FECHA]]&gt;$B$1,1,""),"")</f>
        <v/>
      </c>
    </row>
    <row r="1911" spans="3:3" x14ac:dyDescent="0.25">
      <c r="C1911" s="51" t="str">
        <f>+IFERROR(IF(Tabla4[[#This Row],[FECHA]]&gt;$B$1,1,""),"")</f>
        <v/>
      </c>
    </row>
    <row r="1912" spans="3:3" x14ac:dyDescent="0.25">
      <c r="C1912" s="51" t="str">
        <f>+IFERROR(IF(Tabla4[[#This Row],[FECHA]]&gt;$B$1,1,""),"")</f>
        <v/>
      </c>
    </row>
    <row r="1913" spans="3:3" x14ac:dyDescent="0.25">
      <c r="C1913" s="51" t="str">
        <f>+IFERROR(IF(Tabla4[[#This Row],[FECHA]]&gt;$B$1,1,""),"")</f>
        <v/>
      </c>
    </row>
    <row r="1914" spans="3:3" x14ac:dyDescent="0.25">
      <c r="C1914" s="51" t="str">
        <f>+IFERROR(IF(Tabla4[[#This Row],[FECHA]]&gt;$B$1,1,""),"")</f>
        <v/>
      </c>
    </row>
    <row r="1915" spans="3:3" x14ac:dyDescent="0.25">
      <c r="C1915" s="51" t="str">
        <f>+IFERROR(IF(Tabla4[[#This Row],[FECHA]]&gt;$B$1,1,""),"")</f>
        <v/>
      </c>
    </row>
    <row r="1916" spans="3:3" x14ac:dyDescent="0.25">
      <c r="C1916" s="51" t="str">
        <f>+IFERROR(IF(Tabla4[[#This Row],[FECHA]]&gt;$B$1,1,""),"")</f>
        <v/>
      </c>
    </row>
    <row r="1917" spans="3:3" x14ac:dyDescent="0.25">
      <c r="C1917" s="51" t="str">
        <f>+IFERROR(IF(Tabla4[[#This Row],[FECHA]]&gt;$B$1,1,""),"")</f>
        <v/>
      </c>
    </row>
    <row r="1918" spans="3:3" x14ac:dyDescent="0.25">
      <c r="C1918" s="51" t="str">
        <f>+IFERROR(IF(Tabla4[[#This Row],[FECHA]]&gt;$B$1,1,""),"")</f>
        <v/>
      </c>
    </row>
    <row r="1919" spans="3:3" x14ac:dyDescent="0.25">
      <c r="C1919" s="51" t="str">
        <f>+IFERROR(IF(Tabla4[[#This Row],[FECHA]]&gt;$B$1,1,""),"")</f>
        <v/>
      </c>
    </row>
    <row r="1920" spans="3:3" x14ac:dyDescent="0.25">
      <c r="C1920" s="51" t="str">
        <f>+IFERROR(IF(Tabla4[[#This Row],[FECHA]]&gt;$B$1,1,""),"")</f>
        <v/>
      </c>
    </row>
    <row r="1921" spans="3:3" x14ac:dyDescent="0.25">
      <c r="C1921" s="51" t="str">
        <f>+IFERROR(IF(Tabla4[[#This Row],[FECHA]]&gt;$B$1,1,""),"")</f>
        <v/>
      </c>
    </row>
    <row r="1922" spans="3:3" x14ac:dyDescent="0.25">
      <c r="C1922" s="51" t="str">
        <f>+IFERROR(IF(Tabla4[[#This Row],[FECHA]]&gt;$B$1,1,""),"")</f>
        <v/>
      </c>
    </row>
    <row r="1923" spans="3:3" x14ac:dyDescent="0.25">
      <c r="C1923" s="51" t="str">
        <f>+IFERROR(IF(Tabla4[[#This Row],[FECHA]]&gt;$B$1,1,""),"")</f>
        <v/>
      </c>
    </row>
    <row r="1924" spans="3:3" x14ac:dyDescent="0.25">
      <c r="C1924" s="51" t="str">
        <f>+IFERROR(IF(Tabla4[[#This Row],[FECHA]]&gt;$B$1,1,""),"")</f>
        <v/>
      </c>
    </row>
    <row r="1925" spans="3:3" x14ac:dyDescent="0.25">
      <c r="C1925" s="51" t="str">
        <f>+IFERROR(IF(Tabla4[[#This Row],[FECHA]]&gt;$B$1,1,""),"")</f>
        <v/>
      </c>
    </row>
    <row r="1926" spans="3:3" x14ac:dyDescent="0.25">
      <c r="C1926" s="51" t="str">
        <f>+IFERROR(IF(Tabla4[[#This Row],[FECHA]]&gt;$B$1,1,""),"")</f>
        <v/>
      </c>
    </row>
    <row r="1927" spans="3:3" x14ac:dyDescent="0.25">
      <c r="C1927" s="51" t="str">
        <f>+IFERROR(IF(Tabla4[[#This Row],[FECHA]]&gt;$B$1,1,""),"")</f>
        <v/>
      </c>
    </row>
    <row r="1928" spans="3:3" x14ac:dyDescent="0.25">
      <c r="C1928" s="51" t="str">
        <f>+IFERROR(IF(Tabla4[[#This Row],[FECHA]]&gt;$B$1,1,""),"")</f>
        <v/>
      </c>
    </row>
    <row r="1929" spans="3:3" x14ac:dyDescent="0.25">
      <c r="C1929" s="51" t="str">
        <f>+IFERROR(IF(Tabla4[[#This Row],[FECHA]]&gt;$B$1,1,""),"")</f>
        <v/>
      </c>
    </row>
    <row r="1930" spans="3:3" x14ac:dyDescent="0.25">
      <c r="C1930" s="51" t="str">
        <f>+IFERROR(IF(Tabla4[[#This Row],[FECHA]]&gt;$B$1,1,""),"")</f>
        <v/>
      </c>
    </row>
    <row r="1931" spans="3:3" x14ac:dyDescent="0.25">
      <c r="C1931" s="51" t="str">
        <f>+IFERROR(IF(Tabla4[[#This Row],[FECHA]]&gt;$B$1,1,""),"")</f>
        <v/>
      </c>
    </row>
    <row r="1932" spans="3:3" x14ac:dyDescent="0.25">
      <c r="C1932" s="51" t="str">
        <f>+IFERROR(IF(Tabla4[[#This Row],[FECHA]]&gt;$B$1,1,""),"")</f>
        <v/>
      </c>
    </row>
    <row r="1933" spans="3:3" x14ac:dyDescent="0.25">
      <c r="C1933" s="51" t="str">
        <f>+IFERROR(IF(Tabla4[[#This Row],[FECHA]]&gt;$B$1,1,""),"")</f>
        <v/>
      </c>
    </row>
    <row r="1934" spans="3:3" x14ac:dyDescent="0.25">
      <c r="C1934" s="51" t="str">
        <f>+IFERROR(IF(Tabla4[[#This Row],[FECHA]]&gt;$B$1,1,""),"")</f>
        <v/>
      </c>
    </row>
    <row r="1935" spans="3:3" x14ac:dyDescent="0.25">
      <c r="C1935" s="51" t="str">
        <f>+IFERROR(IF(Tabla4[[#This Row],[FECHA]]&gt;$B$1,1,""),"")</f>
        <v/>
      </c>
    </row>
    <row r="1936" spans="3:3" x14ac:dyDescent="0.25">
      <c r="C1936" s="51" t="str">
        <f>+IFERROR(IF(Tabla4[[#This Row],[FECHA]]&gt;$B$1,1,""),"")</f>
        <v/>
      </c>
    </row>
    <row r="1937" spans="3:3" x14ac:dyDescent="0.25">
      <c r="C1937" s="51" t="str">
        <f>+IFERROR(IF(Tabla4[[#This Row],[FECHA]]&gt;$B$1,1,""),"")</f>
        <v/>
      </c>
    </row>
    <row r="1938" spans="3:3" x14ac:dyDescent="0.25">
      <c r="C1938" s="51" t="str">
        <f>+IFERROR(IF(Tabla4[[#This Row],[FECHA]]&gt;$B$1,1,""),"")</f>
        <v/>
      </c>
    </row>
    <row r="1939" spans="3:3" x14ac:dyDescent="0.25">
      <c r="C1939" s="51" t="str">
        <f>+IFERROR(IF(Tabla4[[#This Row],[FECHA]]&gt;$B$1,1,""),"")</f>
        <v/>
      </c>
    </row>
    <row r="1940" spans="3:3" x14ac:dyDescent="0.25">
      <c r="C1940" s="51" t="str">
        <f>+IFERROR(IF(Tabla4[[#This Row],[FECHA]]&gt;$B$1,1,""),"")</f>
        <v/>
      </c>
    </row>
    <row r="1941" spans="3:3" x14ac:dyDescent="0.25">
      <c r="C1941" s="51" t="str">
        <f>+IFERROR(IF(Tabla4[[#This Row],[FECHA]]&gt;$B$1,1,""),"")</f>
        <v/>
      </c>
    </row>
    <row r="1942" spans="3:3" x14ac:dyDescent="0.25">
      <c r="C1942" s="51" t="str">
        <f>+IFERROR(IF(Tabla4[[#This Row],[FECHA]]&gt;$B$1,1,""),"")</f>
        <v/>
      </c>
    </row>
    <row r="1943" spans="3:3" x14ac:dyDescent="0.25">
      <c r="C1943" s="51" t="str">
        <f>+IFERROR(IF(Tabla4[[#This Row],[FECHA]]&gt;$B$1,1,""),"")</f>
        <v/>
      </c>
    </row>
    <row r="1944" spans="3:3" x14ac:dyDescent="0.25">
      <c r="C1944" s="51" t="str">
        <f>+IFERROR(IF(Tabla4[[#This Row],[FECHA]]&gt;$B$1,1,""),"")</f>
        <v/>
      </c>
    </row>
    <row r="1945" spans="3:3" x14ac:dyDescent="0.25">
      <c r="C1945" s="51" t="str">
        <f>+IFERROR(IF(Tabla4[[#This Row],[FECHA]]&gt;$B$1,1,""),"")</f>
        <v/>
      </c>
    </row>
    <row r="1946" spans="3:3" x14ac:dyDescent="0.25">
      <c r="C1946" s="51" t="str">
        <f>+IFERROR(IF(Tabla4[[#This Row],[FECHA]]&gt;$B$1,1,""),"")</f>
        <v/>
      </c>
    </row>
    <row r="1947" spans="3:3" x14ac:dyDescent="0.25">
      <c r="C1947" s="51" t="str">
        <f>+IFERROR(IF(Tabla4[[#This Row],[FECHA]]&gt;$B$1,1,""),"")</f>
        <v/>
      </c>
    </row>
    <row r="1948" spans="3:3" x14ac:dyDescent="0.25">
      <c r="C1948" s="51" t="str">
        <f>+IFERROR(IF(Tabla4[[#This Row],[FECHA]]&gt;$B$1,1,""),"")</f>
        <v/>
      </c>
    </row>
    <row r="1949" spans="3:3" x14ac:dyDescent="0.25">
      <c r="C1949" s="51" t="str">
        <f>+IFERROR(IF(Tabla4[[#This Row],[FECHA]]&gt;$B$1,1,""),"")</f>
        <v/>
      </c>
    </row>
    <row r="1950" spans="3:3" x14ac:dyDescent="0.25">
      <c r="C1950" s="51" t="str">
        <f>+IFERROR(IF(Tabla4[[#This Row],[FECHA]]&gt;$B$1,1,""),"")</f>
        <v/>
      </c>
    </row>
    <row r="1951" spans="3:3" x14ac:dyDescent="0.25">
      <c r="C1951" s="51" t="str">
        <f>+IFERROR(IF(Tabla4[[#This Row],[FECHA]]&gt;$B$1,1,""),"")</f>
        <v/>
      </c>
    </row>
    <row r="1952" spans="3:3" x14ac:dyDescent="0.25">
      <c r="C1952" s="51" t="str">
        <f>+IFERROR(IF(Tabla4[[#This Row],[FECHA]]&gt;$B$1,1,""),"")</f>
        <v/>
      </c>
    </row>
    <row r="1953" spans="3:3" x14ac:dyDescent="0.25">
      <c r="C1953" s="51" t="str">
        <f>+IFERROR(IF(Tabla4[[#This Row],[FECHA]]&gt;$B$1,1,""),"")</f>
        <v/>
      </c>
    </row>
    <row r="1954" spans="3:3" x14ac:dyDescent="0.25">
      <c r="C1954" s="51" t="str">
        <f>+IFERROR(IF(Tabla4[[#This Row],[FECHA]]&gt;$B$1,1,""),"")</f>
        <v/>
      </c>
    </row>
    <row r="1955" spans="3:3" x14ac:dyDescent="0.25">
      <c r="C1955" s="51" t="str">
        <f>+IFERROR(IF(Tabla4[[#This Row],[FECHA]]&gt;$B$1,1,""),"")</f>
        <v/>
      </c>
    </row>
    <row r="1956" spans="3:3" x14ac:dyDescent="0.25">
      <c r="C1956" s="51" t="str">
        <f>+IFERROR(IF(Tabla4[[#This Row],[FECHA]]&gt;$B$1,1,""),"")</f>
        <v/>
      </c>
    </row>
    <row r="1957" spans="3:3" x14ac:dyDescent="0.25">
      <c r="C1957" s="51" t="str">
        <f>+IFERROR(IF(Tabla4[[#This Row],[FECHA]]&gt;$B$1,1,""),"")</f>
        <v/>
      </c>
    </row>
    <row r="1958" spans="3:3" x14ac:dyDescent="0.25">
      <c r="C1958" s="51" t="str">
        <f>+IFERROR(IF(Tabla4[[#This Row],[FECHA]]&gt;$B$1,1,""),"")</f>
        <v/>
      </c>
    </row>
    <row r="1959" spans="3:3" x14ac:dyDescent="0.25">
      <c r="C1959" s="51" t="str">
        <f>+IFERROR(IF(Tabla4[[#This Row],[FECHA]]&gt;$B$1,1,""),"")</f>
        <v/>
      </c>
    </row>
    <row r="1960" spans="3:3" x14ac:dyDescent="0.25">
      <c r="C1960" s="51" t="str">
        <f>+IFERROR(IF(Tabla4[[#This Row],[FECHA]]&gt;$B$1,1,""),"")</f>
        <v/>
      </c>
    </row>
    <row r="1961" spans="3:3" x14ac:dyDescent="0.25">
      <c r="C1961" s="51" t="str">
        <f>+IFERROR(IF(Tabla4[[#This Row],[FECHA]]&gt;$B$1,1,""),"")</f>
        <v/>
      </c>
    </row>
    <row r="1962" spans="3:3" x14ac:dyDescent="0.25">
      <c r="C1962" s="51" t="str">
        <f>+IFERROR(IF(Tabla4[[#This Row],[FECHA]]&gt;$B$1,1,""),"")</f>
        <v/>
      </c>
    </row>
    <row r="1963" spans="3:3" x14ac:dyDescent="0.25">
      <c r="C1963" s="51" t="str">
        <f>+IFERROR(IF(Tabla4[[#This Row],[FECHA]]&gt;$B$1,1,""),"")</f>
        <v/>
      </c>
    </row>
    <row r="1964" spans="3:3" x14ac:dyDescent="0.25">
      <c r="C1964" s="51" t="str">
        <f>+IFERROR(IF(Tabla4[[#This Row],[FECHA]]&gt;$B$1,1,""),"")</f>
        <v/>
      </c>
    </row>
    <row r="1965" spans="3:3" x14ac:dyDescent="0.25">
      <c r="C1965" s="51" t="str">
        <f>+IFERROR(IF(Tabla4[[#This Row],[FECHA]]&gt;$B$1,1,""),"")</f>
        <v/>
      </c>
    </row>
    <row r="1966" spans="3:3" x14ac:dyDescent="0.25">
      <c r="C1966" s="51" t="str">
        <f>+IFERROR(IF(Tabla4[[#This Row],[FECHA]]&gt;$B$1,1,""),"")</f>
        <v/>
      </c>
    </row>
    <row r="1967" spans="3:3" x14ac:dyDescent="0.25">
      <c r="C1967" s="51" t="str">
        <f>+IFERROR(IF(Tabla4[[#This Row],[FECHA]]&gt;$B$1,1,""),"")</f>
        <v/>
      </c>
    </row>
    <row r="1968" spans="3:3" x14ac:dyDescent="0.25">
      <c r="C1968" s="51" t="str">
        <f>+IFERROR(IF(Tabla4[[#This Row],[FECHA]]&gt;$B$1,1,""),"")</f>
        <v/>
      </c>
    </row>
    <row r="1969" spans="3:3" x14ac:dyDescent="0.25">
      <c r="C1969" s="51" t="str">
        <f>+IFERROR(IF(Tabla4[[#This Row],[FECHA]]&gt;$B$1,1,""),"")</f>
        <v/>
      </c>
    </row>
    <row r="1970" spans="3:3" x14ac:dyDescent="0.25">
      <c r="C1970" s="51" t="str">
        <f>+IFERROR(IF(Tabla4[[#This Row],[FECHA]]&gt;$B$1,1,""),"")</f>
        <v/>
      </c>
    </row>
    <row r="1971" spans="3:3" x14ac:dyDescent="0.25">
      <c r="C1971" s="51" t="str">
        <f>+IFERROR(IF(Tabla4[[#This Row],[FECHA]]&gt;$B$1,1,""),"")</f>
        <v/>
      </c>
    </row>
    <row r="1972" spans="3:3" x14ac:dyDescent="0.25">
      <c r="C1972" s="51" t="str">
        <f>+IFERROR(IF(Tabla4[[#This Row],[FECHA]]&gt;$B$1,1,""),"")</f>
        <v/>
      </c>
    </row>
    <row r="1973" spans="3:3" x14ac:dyDescent="0.25">
      <c r="C1973" s="51" t="str">
        <f>+IFERROR(IF(Tabla4[[#This Row],[FECHA]]&gt;$B$1,1,""),"")</f>
        <v/>
      </c>
    </row>
    <row r="1974" spans="3:3" x14ac:dyDescent="0.25">
      <c r="C1974" s="51" t="str">
        <f>+IFERROR(IF(Tabla4[[#This Row],[FECHA]]&gt;$B$1,1,""),"")</f>
        <v/>
      </c>
    </row>
    <row r="1975" spans="3:3" x14ac:dyDescent="0.25">
      <c r="C1975" s="51" t="str">
        <f>+IFERROR(IF(Tabla4[[#This Row],[FECHA]]&gt;$B$1,1,""),"")</f>
        <v/>
      </c>
    </row>
    <row r="1976" spans="3:3" x14ac:dyDescent="0.25">
      <c r="C1976" s="51" t="str">
        <f>+IFERROR(IF(Tabla4[[#This Row],[FECHA]]&gt;$B$1,1,""),"")</f>
        <v/>
      </c>
    </row>
    <row r="1977" spans="3:3" x14ac:dyDescent="0.25">
      <c r="C1977" s="51" t="str">
        <f>+IFERROR(IF(Tabla4[[#This Row],[FECHA]]&gt;$B$1,1,""),"")</f>
        <v/>
      </c>
    </row>
    <row r="1978" spans="3:3" x14ac:dyDescent="0.25">
      <c r="C1978" s="51" t="str">
        <f>+IFERROR(IF(Tabla4[[#This Row],[FECHA]]&gt;$B$1,1,""),"")</f>
        <v/>
      </c>
    </row>
    <row r="1979" spans="3:3" x14ac:dyDescent="0.25">
      <c r="C1979" s="51" t="str">
        <f>+IFERROR(IF(Tabla4[[#This Row],[FECHA]]&gt;$B$1,1,""),"")</f>
        <v/>
      </c>
    </row>
    <row r="1980" spans="3:3" x14ac:dyDescent="0.25">
      <c r="C1980" s="51" t="str">
        <f>+IFERROR(IF(Tabla4[[#This Row],[FECHA]]&gt;$B$1,1,""),"")</f>
        <v/>
      </c>
    </row>
    <row r="1981" spans="3:3" x14ac:dyDescent="0.25">
      <c r="C1981" s="51" t="str">
        <f>+IFERROR(IF(Tabla4[[#This Row],[FECHA]]&gt;$B$1,1,""),"")</f>
        <v/>
      </c>
    </row>
    <row r="1982" spans="3:3" x14ac:dyDescent="0.25">
      <c r="C1982" s="51" t="str">
        <f>+IFERROR(IF(Tabla4[[#This Row],[FECHA]]&gt;$B$1,1,""),"")</f>
        <v/>
      </c>
    </row>
    <row r="1983" spans="3:3" x14ac:dyDescent="0.25">
      <c r="C1983" s="51" t="str">
        <f>+IFERROR(IF(Tabla4[[#This Row],[FECHA]]&gt;$B$1,1,""),"")</f>
        <v/>
      </c>
    </row>
    <row r="1984" spans="3:3" x14ac:dyDescent="0.25">
      <c r="C1984" s="51" t="str">
        <f>+IFERROR(IF(Tabla4[[#This Row],[FECHA]]&gt;$B$1,1,""),"")</f>
        <v/>
      </c>
    </row>
    <row r="1985" spans="3:3" x14ac:dyDescent="0.25">
      <c r="C1985" s="51" t="str">
        <f>+IFERROR(IF(Tabla4[[#This Row],[FECHA]]&gt;$B$1,1,""),"")</f>
        <v/>
      </c>
    </row>
    <row r="1986" spans="3:3" x14ac:dyDescent="0.25">
      <c r="C1986" s="51" t="str">
        <f>+IFERROR(IF(Tabla4[[#This Row],[FECHA]]&gt;$B$1,1,""),"")</f>
        <v/>
      </c>
    </row>
    <row r="1987" spans="3:3" x14ac:dyDescent="0.25">
      <c r="C1987" s="51" t="str">
        <f>+IFERROR(IF(Tabla4[[#This Row],[FECHA]]&gt;$B$1,1,""),"")</f>
        <v/>
      </c>
    </row>
    <row r="1988" spans="3:3" x14ac:dyDescent="0.25">
      <c r="C1988" s="51" t="str">
        <f>+IFERROR(IF(Tabla4[[#This Row],[FECHA]]&gt;$B$1,1,""),"")</f>
        <v/>
      </c>
    </row>
    <row r="1989" spans="3:3" x14ac:dyDescent="0.25">
      <c r="C1989" s="51" t="str">
        <f>+IFERROR(IF(Tabla4[[#This Row],[FECHA]]&gt;$B$1,1,""),"")</f>
        <v/>
      </c>
    </row>
    <row r="1990" spans="3:3" x14ac:dyDescent="0.25">
      <c r="C1990" s="51" t="str">
        <f>+IFERROR(IF(Tabla4[[#This Row],[FECHA]]&gt;$B$1,1,""),"")</f>
        <v/>
      </c>
    </row>
    <row r="1991" spans="3:3" x14ac:dyDescent="0.25">
      <c r="C1991" s="51" t="str">
        <f>+IFERROR(IF(Tabla4[[#This Row],[FECHA]]&gt;$B$1,1,""),"")</f>
        <v/>
      </c>
    </row>
    <row r="1992" spans="3:3" x14ac:dyDescent="0.25">
      <c r="C1992" s="51" t="str">
        <f>+IFERROR(IF(Tabla4[[#This Row],[FECHA]]&gt;$B$1,1,""),"")</f>
        <v/>
      </c>
    </row>
    <row r="1993" spans="3:3" x14ac:dyDescent="0.25">
      <c r="C1993" s="51" t="str">
        <f>+IFERROR(IF(Tabla4[[#This Row],[FECHA]]&gt;$B$1,1,""),"")</f>
        <v/>
      </c>
    </row>
    <row r="1994" spans="3:3" x14ac:dyDescent="0.25">
      <c r="C1994" s="51" t="str">
        <f>+IFERROR(IF(Tabla4[[#This Row],[FECHA]]&gt;$B$1,1,""),"")</f>
        <v/>
      </c>
    </row>
    <row r="1995" spans="3:3" x14ac:dyDescent="0.25">
      <c r="C1995" s="51" t="str">
        <f>+IFERROR(IF(Tabla4[[#This Row],[FECHA]]&gt;$B$1,1,""),"")</f>
        <v/>
      </c>
    </row>
    <row r="1996" spans="3:3" x14ac:dyDescent="0.25">
      <c r="C1996" s="51" t="str">
        <f>+IFERROR(IF(Tabla4[[#This Row],[FECHA]]&gt;$B$1,1,""),"")</f>
        <v/>
      </c>
    </row>
    <row r="1997" spans="3:3" x14ac:dyDescent="0.25">
      <c r="C1997" s="51" t="str">
        <f>+IFERROR(IF(Tabla4[[#This Row],[FECHA]]&gt;$B$1,1,""),"")</f>
        <v/>
      </c>
    </row>
    <row r="1998" spans="3:3" x14ac:dyDescent="0.25">
      <c r="C1998" s="51" t="str">
        <f>+IFERROR(IF(Tabla4[[#This Row],[FECHA]]&gt;$B$1,1,""),"")</f>
        <v/>
      </c>
    </row>
    <row r="1999" spans="3:3" x14ac:dyDescent="0.25">
      <c r="C1999" s="51" t="str">
        <f>+IFERROR(IF(Tabla4[[#This Row],[FECHA]]&gt;$B$1,1,""),"")</f>
        <v/>
      </c>
    </row>
    <row r="2000" spans="3:3" x14ac:dyDescent="0.25">
      <c r="C2000" s="51" t="str">
        <f>+IFERROR(IF(Tabla4[[#This Row],[FECHA]]&gt;$B$1,1,""),"")</f>
        <v/>
      </c>
    </row>
    <row r="2001" spans="3:3" x14ac:dyDescent="0.25">
      <c r="C2001" s="51" t="str">
        <f>+IFERROR(IF(Tabla4[[#This Row],[FECHA]]&gt;$B$1,1,""),"")</f>
        <v/>
      </c>
    </row>
    <row r="2002" spans="3:3" x14ac:dyDescent="0.25">
      <c r="C2002" s="51" t="str">
        <f>+IFERROR(IF(Tabla4[[#This Row],[FECHA]]&gt;$B$1,1,""),"")</f>
        <v/>
      </c>
    </row>
    <row r="2003" spans="3:3" x14ac:dyDescent="0.25">
      <c r="C2003" s="51" t="str">
        <f>+IFERROR(IF(Tabla4[[#This Row],[FECHA]]&gt;$B$1,1,""),"")</f>
        <v/>
      </c>
    </row>
    <row r="2004" spans="3:3" x14ac:dyDescent="0.25">
      <c r="C2004" s="51" t="str">
        <f>+IFERROR(IF(Tabla4[[#This Row],[FECHA]]&gt;$B$1,1,""),"")</f>
        <v/>
      </c>
    </row>
    <row r="2005" spans="3:3" x14ac:dyDescent="0.25">
      <c r="C2005" s="51" t="str">
        <f>+IFERROR(IF(Tabla4[[#This Row],[FECHA]]&gt;$B$1,1,""),"")</f>
        <v/>
      </c>
    </row>
    <row r="2006" spans="3:3" x14ac:dyDescent="0.25">
      <c r="C2006" s="51" t="str">
        <f>+IFERROR(IF(Tabla4[[#This Row],[FECHA]]&gt;$B$1,1,""),"")</f>
        <v/>
      </c>
    </row>
    <row r="2007" spans="3:3" x14ac:dyDescent="0.25">
      <c r="C2007" s="51" t="str">
        <f>+IFERROR(IF(Tabla4[[#This Row],[FECHA]]&gt;$B$1,1,""),"")</f>
        <v/>
      </c>
    </row>
    <row r="2008" spans="3:3" x14ac:dyDescent="0.25">
      <c r="C2008" s="51" t="str">
        <f>+IFERROR(IF(Tabla4[[#This Row],[FECHA]]&gt;$B$1,1,""),"")</f>
        <v/>
      </c>
    </row>
    <row r="2009" spans="3:3" x14ac:dyDescent="0.25">
      <c r="C2009" s="51" t="str">
        <f>+IFERROR(IF(Tabla4[[#This Row],[FECHA]]&gt;$B$1,1,""),"")</f>
        <v/>
      </c>
    </row>
    <row r="2010" spans="3:3" x14ac:dyDescent="0.25">
      <c r="C2010" s="51" t="str">
        <f>+IFERROR(IF(Tabla4[[#This Row],[FECHA]]&gt;$B$1,1,""),"")</f>
        <v/>
      </c>
    </row>
    <row r="2011" spans="3:3" x14ac:dyDescent="0.25">
      <c r="C2011" s="51" t="str">
        <f>+IFERROR(IF(Tabla4[[#This Row],[FECHA]]&gt;$B$1,1,""),"")</f>
        <v/>
      </c>
    </row>
    <row r="2012" spans="3:3" x14ac:dyDescent="0.25">
      <c r="C2012" s="51" t="str">
        <f>+IFERROR(IF(Tabla4[[#This Row],[FECHA]]&gt;$B$1,1,""),"")</f>
        <v/>
      </c>
    </row>
    <row r="2013" spans="3:3" x14ac:dyDescent="0.25">
      <c r="C2013" s="51" t="str">
        <f>+IFERROR(IF(Tabla4[[#This Row],[FECHA]]&gt;$B$1,1,""),"")</f>
        <v/>
      </c>
    </row>
    <row r="2014" spans="3:3" x14ac:dyDescent="0.25">
      <c r="C2014" s="51" t="str">
        <f>+IFERROR(IF(Tabla4[[#This Row],[FECHA]]&gt;$B$1,1,""),"")</f>
        <v/>
      </c>
    </row>
    <row r="2015" spans="3:3" x14ac:dyDescent="0.25">
      <c r="C2015" s="51" t="str">
        <f>+IFERROR(IF(Tabla4[[#This Row],[FECHA]]&gt;$B$1,1,""),"")</f>
        <v/>
      </c>
    </row>
    <row r="2016" spans="3:3" x14ac:dyDescent="0.25">
      <c r="C2016" s="51" t="str">
        <f>+IFERROR(IF(Tabla4[[#This Row],[FECHA]]&gt;$B$1,1,""),"")</f>
        <v/>
      </c>
    </row>
    <row r="2017" spans="3:3" x14ac:dyDescent="0.25">
      <c r="C2017" s="51" t="str">
        <f>+IFERROR(IF(Tabla4[[#This Row],[FECHA]]&gt;$B$1,1,""),"")</f>
        <v/>
      </c>
    </row>
    <row r="2018" spans="3:3" x14ac:dyDescent="0.25">
      <c r="C2018" s="51" t="str">
        <f>+IFERROR(IF(Tabla4[[#This Row],[FECHA]]&gt;$B$1,1,""),"")</f>
        <v/>
      </c>
    </row>
    <row r="2019" spans="3:3" x14ac:dyDescent="0.25">
      <c r="C2019" s="51" t="str">
        <f>+IFERROR(IF(Tabla4[[#This Row],[FECHA]]&gt;$B$1,1,""),"")</f>
        <v/>
      </c>
    </row>
    <row r="2020" spans="3:3" x14ac:dyDescent="0.25">
      <c r="C2020" s="51" t="str">
        <f>+IFERROR(IF(Tabla4[[#This Row],[FECHA]]&gt;$B$1,1,""),"")</f>
        <v/>
      </c>
    </row>
    <row r="2021" spans="3:3" x14ac:dyDescent="0.25">
      <c r="C2021" s="51" t="str">
        <f>+IFERROR(IF(Tabla4[[#This Row],[FECHA]]&gt;$B$1,1,""),"")</f>
        <v/>
      </c>
    </row>
    <row r="2022" spans="3:3" x14ac:dyDescent="0.25">
      <c r="C2022" s="51" t="str">
        <f>+IFERROR(IF(Tabla4[[#This Row],[FECHA]]&gt;$B$1,1,""),"")</f>
        <v/>
      </c>
    </row>
    <row r="2023" spans="3:3" x14ac:dyDescent="0.25">
      <c r="C2023" s="51" t="str">
        <f>+IFERROR(IF(Tabla4[[#This Row],[FECHA]]&gt;$B$1,1,""),"")</f>
        <v/>
      </c>
    </row>
    <row r="2024" spans="3:3" x14ac:dyDescent="0.25">
      <c r="C2024" s="51" t="str">
        <f>+IFERROR(IF(Tabla4[[#This Row],[FECHA]]&gt;$B$1,1,""),"")</f>
        <v/>
      </c>
    </row>
    <row r="2025" spans="3:3" x14ac:dyDescent="0.25">
      <c r="C2025" s="51" t="str">
        <f>+IFERROR(IF(Tabla4[[#This Row],[FECHA]]&gt;$B$1,1,""),"")</f>
        <v/>
      </c>
    </row>
    <row r="2026" spans="3:3" x14ac:dyDescent="0.25">
      <c r="C2026" s="51" t="str">
        <f>+IFERROR(IF(Tabla4[[#This Row],[FECHA]]&gt;$B$1,1,""),"")</f>
        <v/>
      </c>
    </row>
    <row r="2027" spans="3:3" x14ac:dyDescent="0.25">
      <c r="C2027" s="51" t="str">
        <f>+IFERROR(IF(Tabla4[[#This Row],[FECHA]]&gt;$B$1,1,""),"")</f>
        <v/>
      </c>
    </row>
    <row r="2028" spans="3:3" x14ac:dyDescent="0.25">
      <c r="C2028" s="51" t="str">
        <f>+IFERROR(IF(Tabla4[[#This Row],[FECHA]]&gt;$B$1,1,""),"")</f>
        <v/>
      </c>
    </row>
    <row r="2029" spans="3:3" x14ac:dyDescent="0.25">
      <c r="C2029" s="51" t="str">
        <f>+IFERROR(IF(Tabla4[[#This Row],[FECHA]]&gt;$B$1,1,""),"")</f>
        <v/>
      </c>
    </row>
    <row r="2030" spans="3:3" x14ac:dyDescent="0.25">
      <c r="C2030" s="51" t="str">
        <f>+IFERROR(IF(Tabla4[[#This Row],[FECHA]]&gt;$B$1,1,""),"")</f>
        <v/>
      </c>
    </row>
    <row r="2031" spans="3:3" x14ac:dyDescent="0.25">
      <c r="C2031" s="51" t="str">
        <f>+IFERROR(IF(Tabla4[[#This Row],[FECHA]]&gt;$B$1,1,""),"")</f>
        <v/>
      </c>
    </row>
    <row r="2032" spans="3:3" x14ac:dyDescent="0.25">
      <c r="C2032" s="51" t="str">
        <f>+IFERROR(IF(Tabla4[[#This Row],[FECHA]]&gt;$B$1,1,""),"")</f>
        <v/>
      </c>
    </row>
    <row r="2033" spans="3:3" x14ac:dyDescent="0.25">
      <c r="C2033" s="51" t="str">
        <f>+IFERROR(IF(Tabla4[[#This Row],[FECHA]]&gt;$B$1,1,""),"")</f>
        <v/>
      </c>
    </row>
    <row r="2034" spans="3:3" x14ac:dyDescent="0.25">
      <c r="C2034" s="51" t="str">
        <f>+IFERROR(IF(Tabla4[[#This Row],[FECHA]]&gt;$B$1,1,""),"")</f>
        <v/>
      </c>
    </row>
    <row r="2035" spans="3:3" x14ac:dyDescent="0.25">
      <c r="C2035" s="51" t="str">
        <f>+IFERROR(IF(Tabla4[[#This Row],[FECHA]]&gt;$B$1,1,""),"")</f>
        <v/>
      </c>
    </row>
    <row r="2036" spans="3:3" x14ac:dyDescent="0.25">
      <c r="C2036" s="51" t="str">
        <f>+IFERROR(IF(Tabla4[[#This Row],[FECHA]]&gt;$B$1,1,""),"")</f>
        <v/>
      </c>
    </row>
    <row r="2037" spans="3:3" x14ac:dyDescent="0.25">
      <c r="C2037" s="51" t="str">
        <f>+IFERROR(IF(Tabla4[[#This Row],[FECHA]]&gt;$B$1,1,""),"")</f>
        <v/>
      </c>
    </row>
    <row r="2038" spans="3:3" x14ac:dyDescent="0.25">
      <c r="C2038" s="51" t="str">
        <f>+IFERROR(IF(Tabla4[[#This Row],[FECHA]]&gt;$B$1,1,""),"")</f>
        <v/>
      </c>
    </row>
    <row r="2039" spans="3:3" x14ac:dyDescent="0.25">
      <c r="C2039" s="51" t="str">
        <f>+IFERROR(IF(Tabla4[[#This Row],[FECHA]]&gt;$B$1,1,""),"")</f>
        <v/>
      </c>
    </row>
    <row r="2040" spans="3:3" x14ac:dyDescent="0.25">
      <c r="C2040" s="51" t="str">
        <f>+IFERROR(IF(Tabla4[[#This Row],[FECHA]]&gt;$B$1,1,""),"")</f>
        <v/>
      </c>
    </row>
    <row r="2041" spans="3:3" x14ac:dyDescent="0.25">
      <c r="C2041" s="51" t="str">
        <f>+IFERROR(IF(Tabla4[[#This Row],[FECHA]]&gt;$B$1,1,""),"")</f>
        <v/>
      </c>
    </row>
    <row r="2042" spans="3:3" x14ac:dyDescent="0.25">
      <c r="C2042" s="51" t="str">
        <f>+IFERROR(IF(Tabla4[[#This Row],[FECHA]]&gt;$B$1,1,""),"")</f>
        <v/>
      </c>
    </row>
    <row r="2043" spans="3:3" x14ac:dyDescent="0.25">
      <c r="C2043" s="51" t="str">
        <f>+IFERROR(IF(Tabla4[[#This Row],[FECHA]]&gt;$B$1,1,""),"")</f>
        <v/>
      </c>
    </row>
    <row r="2044" spans="3:3" x14ac:dyDescent="0.25">
      <c r="C2044" s="51" t="str">
        <f>+IFERROR(IF(Tabla4[[#This Row],[FECHA]]&gt;$B$1,1,""),"")</f>
        <v/>
      </c>
    </row>
    <row r="2045" spans="3:3" x14ac:dyDescent="0.25">
      <c r="C2045" s="51" t="str">
        <f>+IFERROR(IF(Tabla4[[#This Row],[FECHA]]&gt;$B$1,1,""),"")</f>
        <v/>
      </c>
    </row>
    <row r="2046" spans="3:3" x14ac:dyDescent="0.25">
      <c r="C2046" s="51" t="str">
        <f>+IFERROR(IF(Tabla4[[#This Row],[FECHA]]&gt;$B$1,1,""),"")</f>
        <v/>
      </c>
    </row>
    <row r="2047" spans="3:3" x14ac:dyDescent="0.25">
      <c r="C2047" s="51" t="str">
        <f>+IFERROR(IF(Tabla4[[#This Row],[FECHA]]&gt;$B$1,1,""),"")</f>
        <v/>
      </c>
    </row>
    <row r="2048" spans="3:3" x14ac:dyDescent="0.25">
      <c r="C2048" s="51" t="str">
        <f>+IFERROR(IF(Tabla4[[#This Row],[FECHA]]&gt;$B$1,1,""),"")</f>
        <v/>
      </c>
    </row>
    <row r="2049" spans="3:3" x14ac:dyDescent="0.25">
      <c r="C2049" s="51" t="str">
        <f>+IFERROR(IF(Tabla4[[#This Row],[FECHA]]&gt;$B$1,1,""),"")</f>
        <v/>
      </c>
    </row>
    <row r="2050" spans="3:3" x14ac:dyDescent="0.25">
      <c r="C2050" s="51" t="str">
        <f>+IFERROR(IF(Tabla4[[#This Row],[FECHA]]&gt;$B$1,1,""),"")</f>
        <v/>
      </c>
    </row>
    <row r="2051" spans="3:3" x14ac:dyDescent="0.25">
      <c r="C2051" s="51" t="str">
        <f>+IFERROR(IF(Tabla4[[#This Row],[FECHA]]&gt;$B$1,1,""),"")</f>
        <v/>
      </c>
    </row>
    <row r="2052" spans="3:3" x14ac:dyDescent="0.25">
      <c r="C2052" s="51" t="str">
        <f>+IFERROR(IF(Tabla4[[#This Row],[FECHA]]&gt;$B$1,1,""),"")</f>
        <v/>
      </c>
    </row>
    <row r="2053" spans="3:3" x14ac:dyDescent="0.25">
      <c r="C2053" s="51" t="str">
        <f>+IFERROR(IF(Tabla4[[#This Row],[FECHA]]&gt;$B$1,1,""),"")</f>
        <v/>
      </c>
    </row>
    <row r="2054" spans="3:3" x14ac:dyDescent="0.25">
      <c r="C2054" s="51" t="str">
        <f>+IFERROR(IF(Tabla4[[#This Row],[FECHA]]&gt;$B$1,1,""),"")</f>
        <v/>
      </c>
    </row>
    <row r="2055" spans="3:3" x14ac:dyDescent="0.25">
      <c r="C2055" s="51" t="str">
        <f>+IFERROR(IF(Tabla4[[#This Row],[FECHA]]&gt;$B$1,1,""),"")</f>
        <v/>
      </c>
    </row>
    <row r="2056" spans="3:3" x14ac:dyDescent="0.25">
      <c r="C2056" s="51" t="str">
        <f>+IFERROR(IF(Tabla4[[#This Row],[FECHA]]&gt;$B$1,1,""),"")</f>
        <v/>
      </c>
    </row>
    <row r="2057" spans="3:3" x14ac:dyDescent="0.25">
      <c r="C2057" s="51" t="str">
        <f>+IFERROR(IF(Tabla4[[#This Row],[FECHA]]&gt;$B$1,1,""),"")</f>
        <v/>
      </c>
    </row>
    <row r="2058" spans="3:3" x14ac:dyDescent="0.25">
      <c r="C2058" s="51" t="str">
        <f>+IFERROR(IF(Tabla4[[#This Row],[FECHA]]&gt;$B$1,1,""),"")</f>
        <v/>
      </c>
    </row>
    <row r="2059" spans="3:3" x14ac:dyDescent="0.25">
      <c r="C2059" s="51" t="str">
        <f>+IFERROR(IF(Tabla4[[#This Row],[FECHA]]&gt;$B$1,1,""),"")</f>
        <v/>
      </c>
    </row>
    <row r="2060" spans="3:3" x14ac:dyDescent="0.25">
      <c r="C2060" s="51" t="str">
        <f>+IFERROR(IF(Tabla4[[#This Row],[FECHA]]&gt;$B$1,1,""),"")</f>
        <v/>
      </c>
    </row>
    <row r="2061" spans="3:3" x14ac:dyDescent="0.25">
      <c r="C2061" s="51" t="str">
        <f>+IFERROR(IF(Tabla4[[#This Row],[FECHA]]&gt;$B$1,1,""),"")</f>
        <v/>
      </c>
    </row>
    <row r="2062" spans="3:3" x14ac:dyDescent="0.25">
      <c r="C2062" s="51" t="str">
        <f>+IFERROR(IF(Tabla4[[#This Row],[FECHA]]&gt;$B$1,1,""),"")</f>
        <v/>
      </c>
    </row>
    <row r="2063" spans="3:3" x14ac:dyDescent="0.25">
      <c r="C2063" s="51" t="str">
        <f>+IFERROR(IF(Tabla4[[#This Row],[FECHA]]&gt;$B$1,1,""),"")</f>
        <v/>
      </c>
    </row>
    <row r="2064" spans="3:3" x14ac:dyDescent="0.25">
      <c r="C2064" s="51" t="str">
        <f>+IFERROR(IF(Tabla4[[#This Row],[FECHA]]&gt;$B$1,1,""),"")</f>
        <v/>
      </c>
    </row>
    <row r="2065" spans="3:3" x14ac:dyDescent="0.25">
      <c r="C2065" s="51" t="str">
        <f>+IFERROR(IF(Tabla4[[#This Row],[FECHA]]&gt;$B$1,1,""),"")</f>
        <v/>
      </c>
    </row>
    <row r="2066" spans="3:3" x14ac:dyDescent="0.25">
      <c r="C2066" s="51" t="str">
        <f>+IFERROR(IF(Tabla4[[#This Row],[FECHA]]&gt;$B$1,1,""),"")</f>
        <v/>
      </c>
    </row>
    <row r="2067" spans="3:3" x14ac:dyDescent="0.25">
      <c r="C2067" s="51" t="str">
        <f>+IFERROR(IF(Tabla4[[#This Row],[FECHA]]&gt;$B$1,1,""),"")</f>
        <v/>
      </c>
    </row>
    <row r="2068" spans="3:3" x14ac:dyDescent="0.25">
      <c r="C2068" s="51" t="str">
        <f>+IFERROR(IF(Tabla4[[#This Row],[FECHA]]&gt;$B$1,1,""),"")</f>
        <v/>
      </c>
    </row>
    <row r="2069" spans="3:3" x14ac:dyDescent="0.25">
      <c r="C2069" s="51" t="str">
        <f>+IFERROR(IF(Tabla4[[#This Row],[FECHA]]&gt;$B$1,1,""),"")</f>
        <v/>
      </c>
    </row>
    <row r="2070" spans="3:3" x14ac:dyDescent="0.25">
      <c r="C2070" s="51" t="str">
        <f>+IFERROR(IF(Tabla4[[#This Row],[FECHA]]&gt;$B$1,1,""),"")</f>
        <v/>
      </c>
    </row>
    <row r="2071" spans="3:3" x14ac:dyDescent="0.25">
      <c r="C2071" s="51" t="str">
        <f>+IFERROR(IF(Tabla4[[#This Row],[FECHA]]&gt;$B$1,1,""),"")</f>
        <v/>
      </c>
    </row>
    <row r="2072" spans="3:3" x14ac:dyDescent="0.25">
      <c r="C2072" s="51" t="str">
        <f>+IFERROR(IF(Tabla4[[#This Row],[FECHA]]&gt;$B$1,1,""),"")</f>
        <v/>
      </c>
    </row>
    <row r="2073" spans="3:3" x14ac:dyDescent="0.25">
      <c r="C2073" s="51" t="str">
        <f>+IFERROR(IF(Tabla4[[#This Row],[FECHA]]&gt;$B$1,1,""),"")</f>
        <v/>
      </c>
    </row>
    <row r="2074" spans="3:3" x14ac:dyDescent="0.25">
      <c r="C2074" s="51" t="str">
        <f>+IFERROR(IF(Tabla4[[#This Row],[FECHA]]&gt;$B$1,1,""),"")</f>
        <v/>
      </c>
    </row>
    <row r="2075" spans="3:3" x14ac:dyDescent="0.25">
      <c r="C2075" s="51" t="str">
        <f>+IFERROR(IF(Tabla4[[#This Row],[FECHA]]&gt;$B$1,1,""),"")</f>
        <v/>
      </c>
    </row>
    <row r="2076" spans="3:3" x14ac:dyDescent="0.25">
      <c r="C2076" s="51" t="str">
        <f>+IFERROR(IF(Tabla4[[#This Row],[FECHA]]&gt;$B$1,1,""),"")</f>
        <v/>
      </c>
    </row>
    <row r="2077" spans="3:3" x14ac:dyDescent="0.25">
      <c r="C2077" s="51" t="str">
        <f>+IFERROR(IF(Tabla4[[#This Row],[FECHA]]&gt;$B$1,1,""),"")</f>
        <v/>
      </c>
    </row>
    <row r="2078" spans="3:3" x14ac:dyDescent="0.25">
      <c r="C2078" s="51" t="str">
        <f>+IFERROR(IF(Tabla4[[#This Row],[FECHA]]&gt;$B$1,1,""),"")</f>
        <v/>
      </c>
    </row>
    <row r="2079" spans="3:3" x14ac:dyDescent="0.25">
      <c r="C2079" s="51" t="str">
        <f>+IFERROR(IF(Tabla4[[#This Row],[FECHA]]&gt;$B$1,1,""),"")</f>
        <v/>
      </c>
    </row>
    <row r="2080" spans="3:3" x14ac:dyDescent="0.25">
      <c r="C2080" s="51" t="str">
        <f>+IFERROR(IF(Tabla4[[#This Row],[FECHA]]&gt;$B$1,1,""),"")</f>
        <v/>
      </c>
    </row>
    <row r="2081" spans="3:3" x14ac:dyDescent="0.25">
      <c r="C2081" s="51" t="str">
        <f>+IFERROR(IF(Tabla4[[#This Row],[FECHA]]&gt;$B$1,1,""),"")</f>
        <v/>
      </c>
    </row>
    <row r="2082" spans="3:3" x14ac:dyDescent="0.25">
      <c r="C2082" s="51" t="str">
        <f>+IFERROR(IF(Tabla4[[#This Row],[FECHA]]&gt;$B$1,1,""),"")</f>
        <v/>
      </c>
    </row>
    <row r="2083" spans="3:3" x14ac:dyDescent="0.25">
      <c r="C2083" s="51" t="str">
        <f>+IFERROR(IF(Tabla4[[#This Row],[FECHA]]&gt;$B$1,1,""),"")</f>
        <v/>
      </c>
    </row>
    <row r="2084" spans="3:3" x14ac:dyDescent="0.25">
      <c r="C2084" s="51" t="str">
        <f>+IFERROR(IF(Tabla4[[#This Row],[FECHA]]&gt;$B$1,1,""),"")</f>
        <v/>
      </c>
    </row>
    <row r="2085" spans="3:3" x14ac:dyDescent="0.25">
      <c r="C2085" s="51" t="str">
        <f>+IFERROR(IF(Tabla4[[#This Row],[FECHA]]&gt;$B$1,1,""),"")</f>
        <v/>
      </c>
    </row>
    <row r="2086" spans="3:3" x14ac:dyDescent="0.25">
      <c r="C2086" s="51" t="str">
        <f>+IFERROR(IF(Tabla4[[#This Row],[FECHA]]&gt;$B$1,1,""),"")</f>
        <v/>
      </c>
    </row>
    <row r="2087" spans="3:3" x14ac:dyDescent="0.25">
      <c r="C2087" s="51" t="str">
        <f>+IFERROR(IF(Tabla4[[#This Row],[FECHA]]&gt;$B$1,1,""),"")</f>
        <v/>
      </c>
    </row>
    <row r="2088" spans="3:3" x14ac:dyDescent="0.25">
      <c r="C2088" s="51" t="str">
        <f>+IFERROR(IF(Tabla4[[#This Row],[FECHA]]&gt;$B$1,1,""),"")</f>
        <v/>
      </c>
    </row>
    <row r="2089" spans="3:3" x14ac:dyDescent="0.25">
      <c r="C2089" s="51" t="str">
        <f>+IFERROR(IF(Tabla4[[#This Row],[FECHA]]&gt;$B$1,1,""),"")</f>
        <v/>
      </c>
    </row>
    <row r="2090" spans="3:3" x14ac:dyDescent="0.25">
      <c r="C2090" s="51" t="str">
        <f>+IFERROR(IF(Tabla4[[#This Row],[FECHA]]&gt;$B$1,1,""),"")</f>
        <v/>
      </c>
    </row>
    <row r="2091" spans="3:3" x14ac:dyDescent="0.25">
      <c r="C2091" s="51" t="str">
        <f>+IFERROR(IF(Tabla4[[#This Row],[FECHA]]&gt;$B$1,1,""),"")</f>
        <v/>
      </c>
    </row>
    <row r="2092" spans="3:3" x14ac:dyDescent="0.25">
      <c r="C2092" s="51" t="str">
        <f>+IFERROR(IF(Tabla4[[#This Row],[FECHA]]&gt;$B$1,1,""),"")</f>
        <v/>
      </c>
    </row>
    <row r="2093" spans="3:3" x14ac:dyDescent="0.25">
      <c r="C2093" s="51" t="str">
        <f>+IFERROR(IF(Tabla4[[#This Row],[FECHA]]&gt;$B$1,1,""),"")</f>
        <v/>
      </c>
    </row>
    <row r="2094" spans="3:3" x14ac:dyDescent="0.25">
      <c r="C2094" s="51" t="str">
        <f>+IFERROR(IF(Tabla4[[#This Row],[FECHA]]&gt;$B$1,1,""),"")</f>
        <v/>
      </c>
    </row>
    <row r="2095" spans="3:3" x14ac:dyDescent="0.25">
      <c r="C2095" s="51" t="str">
        <f>+IFERROR(IF(Tabla4[[#This Row],[FECHA]]&gt;$B$1,1,""),"")</f>
        <v/>
      </c>
    </row>
    <row r="2096" spans="3:3" x14ac:dyDescent="0.25">
      <c r="C2096" s="51" t="str">
        <f>+IFERROR(IF(Tabla4[[#This Row],[FECHA]]&gt;$B$1,1,""),"")</f>
        <v/>
      </c>
    </row>
    <row r="2097" spans="3:3" x14ac:dyDescent="0.25">
      <c r="C2097" s="51" t="str">
        <f>+IFERROR(IF(Tabla4[[#This Row],[FECHA]]&gt;$B$1,1,""),"")</f>
        <v/>
      </c>
    </row>
    <row r="2098" spans="3:3" x14ac:dyDescent="0.25">
      <c r="C2098" s="51" t="str">
        <f>+IFERROR(IF(Tabla4[[#This Row],[FECHA]]&gt;$B$1,1,""),"")</f>
        <v/>
      </c>
    </row>
    <row r="2099" spans="3:3" x14ac:dyDescent="0.25">
      <c r="C2099" s="51" t="str">
        <f>+IFERROR(IF(Tabla4[[#This Row],[FECHA]]&gt;$B$1,1,""),"")</f>
        <v/>
      </c>
    </row>
    <row r="2100" spans="3:3" x14ac:dyDescent="0.25">
      <c r="C2100" s="51" t="str">
        <f>+IFERROR(IF(Tabla4[[#This Row],[FECHA]]&gt;$B$1,1,""),"")</f>
        <v/>
      </c>
    </row>
    <row r="2101" spans="3:3" x14ac:dyDescent="0.25">
      <c r="C2101" s="51" t="str">
        <f>+IFERROR(IF(Tabla4[[#This Row],[FECHA]]&gt;$B$1,1,""),"")</f>
        <v/>
      </c>
    </row>
    <row r="2102" spans="3:3" x14ac:dyDescent="0.25">
      <c r="C2102" s="51" t="str">
        <f>+IFERROR(IF(Tabla4[[#This Row],[FECHA]]&gt;$B$1,1,""),"")</f>
        <v/>
      </c>
    </row>
    <row r="2103" spans="3:3" x14ac:dyDescent="0.25">
      <c r="C2103" s="51" t="str">
        <f>+IFERROR(IF(Tabla4[[#This Row],[FECHA]]&gt;$B$1,1,""),"")</f>
        <v/>
      </c>
    </row>
    <row r="2104" spans="3:3" x14ac:dyDescent="0.25">
      <c r="C2104" s="51" t="str">
        <f>+IFERROR(IF(Tabla4[[#This Row],[FECHA]]&gt;$B$1,1,""),"")</f>
        <v/>
      </c>
    </row>
    <row r="2105" spans="3:3" x14ac:dyDescent="0.25">
      <c r="C2105" s="51" t="str">
        <f>+IFERROR(IF(Tabla4[[#This Row],[FECHA]]&gt;$B$1,1,""),"")</f>
        <v/>
      </c>
    </row>
    <row r="2106" spans="3:3" x14ac:dyDescent="0.25">
      <c r="C2106" s="51" t="str">
        <f>+IFERROR(IF(Tabla4[[#This Row],[FECHA]]&gt;$B$1,1,""),"")</f>
        <v/>
      </c>
    </row>
    <row r="2107" spans="3:3" x14ac:dyDescent="0.25">
      <c r="C2107" s="51" t="str">
        <f>+IFERROR(IF(Tabla4[[#This Row],[FECHA]]&gt;$B$1,1,""),"")</f>
        <v/>
      </c>
    </row>
    <row r="2108" spans="3:3" x14ac:dyDescent="0.25">
      <c r="C2108" s="51" t="str">
        <f>+IFERROR(IF(Tabla4[[#This Row],[FECHA]]&gt;$B$1,1,""),"")</f>
        <v/>
      </c>
    </row>
    <row r="2109" spans="3:3" x14ac:dyDescent="0.25">
      <c r="C2109" s="51" t="str">
        <f>+IFERROR(IF(Tabla4[[#This Row],[FECHA]]&gt;$B$1,1,""),"")</f>
        <v/>
      </c>
    </row>
    <row r="2110" spans="3:3" x14ac:dyDescent="0.25">
      <c r="C2110" s="51" t="str">
        <f>+IFERROR(IF(Tabla4[[#This Row],[FECHA]]&gt;$B$1,1,""),"")</f>
        <v/>
      </c>
    </row>
    <row r="2111" spans="3:3" x14ac:dyDescent="0.25">
      <c r="C2111" s="51" t="str">
        <f>+IFERROR(IF(Tabla4[[#This Row],[FECHA]]&gt;$B$1,1,""),"")</f>
        <v/>
      </c>
    </row>
    <row r="2112" spans="3:3" x14ac:dyDescent="0.25">
      <c r="C2112" s="51" t="str">
        <f>+IFERROR(IF(Tabla4[[#This Row],[FECHA]]&gt;$B$1,1,""),"")</f>
        <v/>
      </c>
    </row>
    <row r="2113" spans="3:3" x14ac:dyDescent="0.25">
      <c r="C2113" s="51" t="str">
        <f>+IFERROR(IF(Tabla4[[#This Row],[FECHA]]&gt;$B$1,1,""),"")</f>
        <v/>
      </c>
    </row>
    <row r="2114" spans="3:3" x14ac:dyDescent="0.25">
      <c r="C2114" s="51" t="str">
        <f>+IFERROR(IF(Tabla4[[#This Row],[FECHA]]&gt;$B$1,1,""),"")</f>
        <v/>
      </c>
    </row>
    <row r="2115" spans="3:3" x14ac:dyDescent="0.25">
      <c r="C2115" s="51" t="str">
        <f>+IFERROR(IF(Tabla4[[#This Row],[FECHA]]&gt;$B$1,1,""),"")</f>
        <v/>
      </c>
    </row>
    <row r="2116" spans="3:3" x14ac:dyDescent="0.25">
      <c r="C2116" s="51" t="str">
        <f>+IFERROR(IF(Tabla4[[#This Row],[FECHA]]&gt;$B$1,1,""),"")</f>
        <v/>
      </c>
    </row>
    <row r="2117" spans="3:3" x14ac:dyDescent="0.25">
      <c r="C2117" s="51" t="str">
        <f>+IFERROR(IF(Tabla4[[#This Row],[FECHA]]&gt;$B$1,1,""),"")</f>
        <v/>
      </c>
    </row>
    <row r="2118" spans="3:3" x14ac:dyDescent="0.25">
      <c r="C2118" s="51" t="str">
        <f>+IFERROR(IF(Tabla4[[#This Row],[FECHA]]&gt;$B$1,1,""),"")</f>
        <v/>
      </c>
    </row>
    <row r="2119" spans="3:3" x14ac:dyDescent="0.25">
      <c r="C2119" s="51" t="str">
        <f>+IFERROR(IF(Tabla4[[#This Row],[FECHA]]&gt;$B$1,1,""),"")</f>
        <v/>
      </c>
    </row>
    <row r="2120" spans="3:3" x14ac:dyDescent="0.25">
      <c r="C2120" s="51" t="str">
        <f>+IFERROR(IF(Tabla4[[#This Row],[FECHA]]&gt;$B$1,1,""),"")</f>
        <v/>
      </c>
    </row>
    <row r="2121" spans="3:3" x14ac:dyDescent="0.25">
      <c r="C2121" s="51" t="str">
        <f>+IFERROR(IF(Tabla4[[#This Row],[FECHA]]&gt;$B$1,1,""),"")</f>
        <v/>
      </c>
    </row>
    <row r="2122" spans="3:3" x14ac:dyDescent="0.25">
      <c r="C2122" s="51" t="str">
        <f>+IFERROR(IF(Tabla4[[#This Row],[FECHA]]&gt;$B$1,1,""),"")</f>
        <v/>
      </c>
    </row>
    <row r="2123" spans="3:3" x14ac:dyDescent="0.25">
      <c r="C2123" s="51" t="str">
        <f>+IFERROR(IF(Tabla4[[#This Row],[FECHA]]&gt;$B$1,1,""),"")</f>
        <v/>
      </c>
    </row>
    <row r="2124" spans="3:3" x14ac:dyDescent="0.25">
      <c r="C2124" s="51" t="str">
        <f>+IFERROR(IF(Tabla4[[#This Row],[FECHA]]&gt;$B$1,1,""),"")</f>
        <v/>
      </c>
    </row>
    <row r="2125" spans="3:3" x14ac:dyDescent="0.25">
      <c r="C2125" s="51" t="str">
        <f>+IFERROR(IF(Tabla4[[#This Row],[FECHA]]&gt;$B$1,1,""),"")</f>
        <v/>
      </c>
    </row>
    <row r="2126" spans="3:3" x14ac:dyDescent="0.25">
      <c r="C2126" s="51" t="str">
        <f>+IFERROR(IF(Tabla4[[#This Row],[FECHA]]&gt;$B$1,1,""),"")</f>
        <v/>
      </c>
    </row>
    <row r="2127" spans="3:3" x14ac:dyDescent="0.25">
      <c r="C2127" s="51" t="str">
        <f>+IFERROR(IF(Tabla4[[#This Row],[FECHA]]&gt;$B$1,1,""),"")</f>
        <v/>
      </c>
    </row>
    <row r="2128" spans="3:3" x14ac:dyDescent="0.25">
      <c r="C2128" s="51" t="str">
        <f>+IFERROR(IF(Tabla4[[#This Row],[FECHA]]&gt;$B$1,1,""),"")</f>
        <v/>
      </c>
    </row>
    <row r="2129" spans="3:3" x14ac:dyDescent="0.25">
      <c r="C2129" s="51" t="str">
        <f>+IFERROR(IF(Tabla4[[#This Row],[FECHA]]&gt;$B$1,1,""),"")</f>
        <v/>
      </c>
    </row>
    <row r="2130" spans="3:3" x14ac:dyDescent="0.25">
      <c r="C2130" s="51" t="str">
        <f>+IFERROR(IF(Tabla4[[#This Row],[FECHA]]&gt;$B$1,1,""),"")</f>
        <v/>
      </c>
    </row>
    <row r="2131" spans="3:3" x14ac:dyDescent="0.25">
      <c r="C2131" s="51" t="str">
        <f>+IFERROR(IF(Tabla4[[#This Row],[FECHA]]&gt;$B$1,1,""),"")</f>
        <v/>
      </c>
    </row>
    <row r="2132" spans="3:3" x14ac:dyDescent="0.25">
      <c r="C2132" s="51" t="str">
        <f>+IFERROR(IF(Tabla4[[#This Row],[FECHA]]&gt;$B$1,1,""),"")</f>
        <v/>
      </c>
    </row>
    <row r="2133" spans="3:3" x14ac:dyDescent="0.25">
      <c r="C2133" s="51" t="str">
        <f>+IFERROR(IF(Tabla4[[#This Row],[FECHA]]&gt;$B$1,1,""),"")</f>
        <v/>
      </c>
    </row>
    <row r="2134" spans="3:3" x14ac:dyDescent="0.25">
      <c r="C2134" s="51" t="str">
        <f>+IFERROR(IF(Tabla4[[#This Row],[FECHA]]&gt;$B$1,1,""),"")</f>
        <v/>
      </c>
    </row>
    <row r="2135" spans="3:3" x14ac:dyDescent="0.25">
      <c r="C2135" s="51" t="str">
        <f>+IFERROR(IF(Tabla4[[#This Row],[FECHA]]&gt;$B$1,1,""),"")</f>
        <v/>
      </c>
    </row>
    <row r="2136" spans="3:3" x14ac:dyDescent="0.25">
      <c r="C2136" s="51" t="str">
        <f>+IFERROR(IF(Tabla4[[#This Row],[FECHA]]&gt;$B$1,1,""),"")</f>
        <v/>
      </c>
    </row>
    <row r="2137" spans="3:3" x14ac:dyDescent="0.25">
      <c r="C2137" s="51" t="str">
        <f>+IFERROR(IF(Tabla4[[#This Row],[FECHA]]&gt;$B$1,1,""),"")</f>
        <v/>
      </c>
    </row>
    <row r="2138" spans="3:3" x14ac:dyDescent="0.25">
      <c r="C2138" s="51" t="str">
        <f>+IFERROR(IF(Tabla4[[#This Row],[FECHA]]&gt;$B$1,1,""),"")</f>
        <v/>
      </c>
    </row>
    <row r="2139" spans="3:3" x14ac:dyDescent="0.25">
      <c r="C2139" s="51" t="str">
        <f>+IFERROR(IF(Tabla4[[#This Row],[FECHA]]&gt;$B$1,1,""),"")</f>
        <v/>
      </c>
    </row>
    <row r="2140" spans="3:3" x14ac:dyDescent="0.25">
      <c r="C2140" s="51" t="str">
        <f>+IFERROR(IF(Tabla4[[#This Row],[FECHA]]&gt;$B$1,1,""),"")</f>
        <v/>
      </c>
    </row>
    <row r="2141" spans="3:3" x14ac:dyDescent="0.25">
      <c r="C2141" s="51" t="str">
        <f>+IFERROR(IF(Tabla4[[#This Row],[FECHA]]&gt;$B$1,1,""),"")</f>
        <v/>
      </c>
    </row>
    <row r="2142" spans="3:3" x14ac:dyDescent="0.25">
      <c r="C2142" s="51" t="str">
        <f>+IFERROR(IF(Tabla4[[#This Row],[FECHA]]&gt;$B$1,1,""),"")</f>
        <v/>
      </c>
    </row>
    <row r="2143" spans="3:3" x14ac:dyDescent="0.25">
      <c r="C2143" s="51" t="str">
        <f>+IFERROR(IF(Tabla4[[#This Row],[FECHA]]&gt;$B$1,1,""),"")</f>
        <v/>
      </c>
    </row>
    <row r="2144" spans="3:3" x14ac:dyDescent="0.25">
      <c r="C2144" s="51" t="str">
        <f>+IFERROR(IF(Tabla4[[#This Row],[FECHA]]&gt;$B$1,1,""),"")</f>
        <v/>
      </c>
    </row>
    <row r="2145" spans="3:3" x14ac:dyDescent="0.25">
      <c r="C2145" s="51" t="str">
        <f>+IFERROR(IF(Tabla4[[#This Row],[FECHA]]&gt;$B$1,1,""),"")</f>
        <v/>
      </c>
    </row>
    <row r="2146" spans="3:3" x14ac:dyDescent="0.25">
      <c r="C2146" s="51" t="str">
        <f>+IFERROR(IF(Tabla4[[#This Row],[FECHA]]&gt;$B$1,1,""),"")</f>
        <v/>
      </c>
    </row>
    <row r="2147" spans="3:3" x14ac:dyDescent="0.25">
      <c r="C2147" s="51" t="str">
        <f>+IFERROR(IF(Tabla4[[#This Row],[FECHA]]&gt;$B$1,1,""),"")</f>
        <v/>
      </c>
    </row>
    <row r="2148" spans="3:3" x14ac:dyDescent="0.25">
      <c r="C2148" s="51" t="str">
        <f>+IFERROR(IF(Tabla4[[#This Row],[FECHA]]&gt;$B$1,1,""),"")</f>
        <v/>
      </c>
    </row>
    <row r="2149" spans="3:3" x14ac:dyDescent="0.25">
      <c r="C2149" s="51" t="str">
        <f>+IFERROR(IF(Tabla4[[#This Row],[FECHA]]&gt;$B$1,1,""),"")</f>
        <v/>
      </c>
    </row>
    <row r="2150" spans="3:3" x14ac:dyDescent="0.25">
      <c r="C2150" s="51" t="str">
        <f>+IFERROR(IF(Tabla4[[#This Row],[FECHA]]&gt;$B$1,1,""),"")</f>
        <v/>
      </c>
    </row>
    <row r="2151" spans="3:3" x14ac:dyDescent="0.25">
      <c r="C2151" s="51" t="str">
        <f>+IFERROR(IF(Tabla4[[#This Row],[FECHA]]&gt;$B$1,1,""),"")</f>
        <v/>
      </c>
    </row>
    <row r="2152" spans="3:3" x14ac:dyDescent="0.25">
      <c r="C2152" s="51" t="str">
        <f>+IFERROR(IF(Tabla4[[#This Row],[FECHA]]&gt;$B$1,1,""),"")</f>
        <v/>
      </c>
    </row>
    <row r="2153" spans="3:3" x14ac:dyDescent="0.25">
      <c r="C2153" s="51" t="str">
        <f>+IFERROR(IF(Tabla4[[#This Row],[FECHA]]&gt;$B$1,1,""),"")</f>
        <v/>
      </c>
    </row>
    <row r="2154" spans="3:3" x14ac:dyDescent="0.25">
      <c r="C2154" s="51" t="str">
        <f>+IFERROR(IF(Tabla4[[#This Row],[FECHA]]&gt;$B$1,1,""),"")</f>
        <v/>
      </c>
    </row>
    <row r="2155" spans="3:3" x14ac:dyDescent="0.25">
      <c r="C2155" s="51" t="str">
        <f>+IFERROR(IF(Tabla4[[#This Row],[FECHA]]&gt;$B$1,1,""),"")</f>
        <v/>
      </c>
    </row>
    <row r="2156" spans="3:3" x14ac:dyDescent="0.25">
      <c r="C2156" s="51" t="str">
        <f>+IFERROR(IF(Tabla4[[#This Row],[FECHA]]&gt;$B$1,1,""),"")</f>
        <v/>
      </c>
    </row>
    <row r="2157" spans="3:3" x14ac:dyDescent="0.25">
      <c r="C2157" s="51" t="str">
        <f>+IFERROR(IF(Tabla4[[#This Row],[FECHA]]&gt;$B$1,1,""),"")</f>
        <v/>
      </c>
    </row>
    <row r="2158" spans="3:3" x14ac:dyDescent="0.25">
      <c r="C2158" s="51" t="str">
        <f>+IFERROR(IF(Tabla4[[#This Row],[FECHA]]&gt;$B$1,1,""),"")</f>
        <v/>
      </c>
    </row>
    <row r="2159" spans="3:3" x14ac:dyDescent="0.25">
      <c r="C2159" s="51" t="str">
        <f>+IFERROR(IF(Tabla4[[#This Row],[FECHA]]&gt;$B$1,1,""),"")</f>
        <v/>
      </c>
    </row>
    <row r="2160" spans="3:3" x14ac:dyDescent="0.25">
      <c r="C2160" s="51" t="str">
        <f>+IFERROR(IF(Tabla4[[#This Row],[FECHA]]&gt;$B$1,1,""),"")</f>
        <v/>
      </c>
    </row>
    <row r="2161" spans="3:3" x14ac:dyDescent="0.25">
      <c r="C2161" s="51" t="str">
        <f>+IFERROR(IF(Tabla4[[#This Row],[FECHA]]&gt;$B$1,1,""),"")</f>
        <v/>
      </c>
    </row>
    <row r="2162" spans="3:3" x14ac:dyDescent="0.25">
      <c r="C2162" s="51" t="str">
        <f>+IFERROR(IF(Tabla4[[#This Row],[FECHA]]&gt;$B$1,1,""),"")</f>
        <v/>
      </c>
    </row>
    <row r="2163" spans="3:3" x14ac:dyDescent="0.25">
      <c r="C2163" s="51" t="str">
        <f>+IFERROR(IF(Tabla4[[#This Row],[FECHA]]&gt;$B$1,1,""),"")</f>
        <v/>
      </c>
    </row>
    <row r="2164" spans="3:3" x14ac:dyDescent="0.25">
      <c r="C2164" s="51" t="str">
        <f>+IFERROR(IF(Tabla4[[#This Row],[FECHA]]&gt;$B$1,1,""),"")</f>
        <v/>
      </c>
    </row>
    <row r="2165" spans="3:3" x14ac:dyDescent="0.25">
      <c r="C2165" s="51" t="str">
        <f>+IFERROR(IF(Tabla4[[#This Row],[FECHA]]&gt;$B$1,1,""),"")</f>
        <v/>
      </c>
    </row>
    <row r="2166" spans="3:3" x14ac:dyDescent="0.25">
      <c r="C2166" s="51" t="str">
        <f>+IFERROR(IF(Tabla4[[#This Row],[FECHA]]&gt;$B$1,1,""),"")</f>
        <v/>
      </c>
    </row>
    <row r="2167" spans="3:3" x14ac:dyDescent="0.25">
      <c r="C2167" s="51" t="str">
        <f>+IFERROR(IF(Tabla4[[#This Row],[FECHA]]&gt;$B$1,1,""),"")</f>
        <v/>
      </c>
    </row>
    <row r="2168" spans="3:3" x14ac:dyDescent="0.25">
      <c r="C2168" s="51" t="str">
        <f>+IFERROR(IF(Tabla4[[#This Row],[FECHA]]&gt;$B$1,1,""),"")</f>
        <v/>
      </c>
    </row>
    <row r="2169" spans="3:3" x14ac:dyDescent="0.25">
      <c r="C2169" s="51" t="str">
        <f>+IFERROR(IF(Tabla4[[#This Row],[FECHA]]&gt;$B$1,1,""),"")</f>
        <v/>
      </c>
    </row>
    <row r="2170" spans="3:3" x14ac:dyDescent="0.25">
      <c r="C2170" s="51" t="str">
        <f>+IFERROR(IF(Tabla4[[#This Row],[FECHA]]&gt;$B$1,1,""),"")</f>
        <v/>
      </c>
    </row>
    <row r="2171" spans="3:3" x14ac:dyDescent="0.25">
      <c r="C2171" s="51" t="str">
        <f>+IFERROR(IF(Tabla4[[#This Row],[FECHA]]&gt;$B$1,1,""),"")</f>
        <v/>
      </c>
    </row>
    <row r="2172" spans="3:3" x14ac:dyDescent="0.25">
      <c r="C2172" s="51" t="str">
        <f>+IFERROR(IF(Tabla4[[#This Row],[FECHA]]&gt;$B$1,1,""),"")</f>
        <v/>
      </c>
    </row>
    <row r="2173" spans="3:3" x14ac:dyDescent="0.25">
      <c r="C2173" s="51" t="str">
        <f>+IFERROR(IF(Tabla4[[#This Row],[FECHA]]&gt;$B$1,1,""),"")</f>
        <v/>
      </c>
    </row>
    <row r="2174" spans="3:3" x14ac:dyDescent="0.25">
      <c r="C2174" s="51" t="str">
        <f>+IFERROR(IF(Tabla4[[#This Row],[FECHA]]&gt;$B$1,1,""),"")</f>
        <v/>
      </c>
    </row>
    <row r="2175" spans="3:3" x14ac:dyDescent="0.25">
      <c r="C2175" s="51" t="str">
        <f>+IFERROR(IF(Tabla4[[#This Row],[FECHA]]&gt;$B$1,1,""),"")</f>
        <v/>
      </c>
    </row>
    <row r="2176" spans="3:3" x14ac:dyDescent="0.25">
      <c r="C2176" s="51" t="str">
        <f>+IFERROR(IF(Tabla4[[#This Row],[FECHA]]&gt;$B$1,1,""),"")</f>
        <v/>
      </c>
    </row>
    <row r="2177" spans="3:3" x14ac:dyDescent="0.25">
      <c r="C2177" s="51" t="str">
        <f>+IFERROR(IF(Tabla4[[#This Row],[FECHA]]&gt;$B$1,1,""),"")</f>
        <v/>
      </c>
    </row>
    <row r="2178" spans="3:3" x14ac:dyDescent="0.25">
      <c r="C2178" s="51" t="str">
        <f>+IFERROR(IF(Tabla4[[#This Row],[FECHA]]&gt;$B$1,1,""),"")</f>
        <v/>
      </c>
    </row>
    <row r="2179" spans="3:3" x14ac:dyDescent="0.25">
      <c r="C2179" s="51" t="str">
        <f>+IFERROR(IF(Tabla4[[#This Row],[FECHA]]&gt;$B$1,1,""),"")</f>
        <v/>
      </c>
    </row>
    <row r="2180" spans="3:3" x14ac:dyDescent="0.25">
      <c r="C2180" s="51" t="str">
        <f>+IFERROR(IF(Tabla4[[#This Row],[FECHA]]&gt;$B$1,1,""),"")</f>
        <v/>
      </c>
    </row>
    <row r="2181" spans="3:3" x14ac:dyDescent="0.25">
      <c r="C2181" s="51" t="str">
        <f>+IFERROR(IF(Tabla4[[#This Row],[FECHA]]&gt;$B$1,1,""),"")</f>
        <v/>
      </c>
    </row>
    <row r="2182" spans="3:3" x14ac:dyDescent="0.25">
      <c r="C2182" s="51" t="str">
        <f>+IFERROR(IF(Tabla4[[#This Row],[FECHA]]&gt;$B$1,1,""),"")</f>
        <v/>
      </c>
    </row>
    <row r="2183" spans="3:3" x14ac:dyDescent="0.25">
      <c r="C2183" s="51" t="str">
        <f>+IFERROR(IF(Tabla4[[#This Row],[FECHA]]&gt;$B$1,1,""),"")</f>
        <v/>
      </c>
    </row>
    <row r="2184" spans="3:3" x14ac:dyDescent="0.25">
      <c r="C2184" s="51" t="str">
        <f>+IFERROR(IF(Tabla4[[#This Row],[FECHA]]&gt;$B$1,1,""),"")</f>
        <v/>
      </c>
    </row>
    <row r="2185" spans="3:3" x14ac:dyDescent="0.25">
      <c r="C2185" s="51" t="str">
        <f>+IFERROR(IF(Tabla4[[#This Row],[FECHA]]&gt;$B$1,1,""),"")</f>
        <v/>
      </c>
    </row>
    <row r="2186" spans="3:3" x14ac:dyDescent="0.25">
      <c r="C2186" s="51" t="str">
        <f>+IFERROR(IF(Tabla4[[#This Row],[FECHA]]&gt;$B$1,1,""),"")</f>
        <v/>
      </c>
    </row>
    <row r="2187" spans="3:3" x14ac:dyDescent="0.25">
      <c r="C2187" s="51" t="str">
        <f>+IFERROR(IF(Tabla4[[#This Row],[FECHA]]&gt;$B$1,1,""),"")</f>
        <v/>
      </c>
    </row>
    <row r="2188" spans="3:3" x14ac:dyDescent="0.25">
      <c r="C2188" s="51" t="str">
        <f>+IFERROR(IF(Tabla4[[#This Row],[FECHA]]&gt;$B$1,1,""),"")</f>
        <v/>
      </c>
    </row>
    <row r="2189" spans="3:3" x14ac:dyDescent="0.25">
      <c r="C2189" s="51" t="str">
        <f>+IFERROR(IF(Tabla4[[#This Row],[FECHA]]&gt;$B$1,1,""),"")</f>
        <v/>
      </c>
    </row>
    <row r="2190" spans="3:3" x14ac:dyDescent="0.25">
      <c r="C2190" s="51" t="str">
        <f>+IFERROR(IF(Tabla4[[#This Row],[FECHA]]&gt;$B$1,1,""),"")</f>
        <v/>
      </c>
    </row>
    <row r="2191" spans="3:3" x14ac:dyDescent="0.25">
      <c r="C2191" s="51" t="str">
        <f>+IFERROR(IF(Tabla4[[#This Row],[FECHA]]&gt;$B$1,1,""),"")</f>
        <v/>
      </c>
    </row>
    <row r="2192" spans="3:3" x14ac:dyDescent="0.25">
      <c r="C2192" s="51" t="str">
        <f>+IFERROR(IF(Tabla4[[#This Row],[FECHA]]&gt;$B$1,1,""),"")</f>
        <v/>
      </c>
    </row>
    <row r="2193" spans="3:3" x14ac:dyDescent="0.25">
      <c r="C2193" s="51" t="str">
        <f>+IFERROR(IF(Tabla4[[#This Row],[FECHA]]&gt;$B$1,1,""),"")</f>
        <v/>
      </c>
    </row>
    <row r="2194" spans="3:3" x14ac:dyDescent="0.25">
      <c r="C2194" s="51" t="str">
        <f>+IFERROR(IF(Tabla4[[#This Row],[FECHA]]&gt;$B$1,1,""),"")</f>
        <v/>
      </c>
    </row>
    <row r="2195" spans="3:3" x14ac:dyDescent="0.25">
      <c r="C2195" s="51" t="str">
        <f>+IFERROR(IF(Tabla4[[#This Row],[FECHA]]&gt;$B$1,1,""),"")</f>
        <v/>
      </c>
    </row>
    <row r="2196" spans="3:3" x14ac:dyDescent="0.25">
      <c r="C2196" s="51" t="str">
        <f>+IFERROR(IF(Tabla4[[#This Row],[FECHA]]&gt;$B$1,1,""),"")</f>
        <v/>
      </c>
    </row>
    <row r="2197" spans="3:3" x14ac:dyDescent="0.25">
      <c r="C2197" s="51" t="str">
        <f>+IFERROR(IF(Tabla4[[#This Row],[FECHA]]&gt;$B$1,1,""),"")</f>
        <v/>
      </c>
    </row>
    <row r="2198" spans="3:3" x14ac:dyDescent="0.25">
      <c r="C2198" s="51" t="str">
        <f>+IFERROR(IF(Tabla4[[#This Row],[FECHA]]&gt;$B$1,1,""),"")</f>
        <v/>
      </c>
    </row>
    <row r="2199" spans="3:3" x14ac:dyDescent="0.25">
      <c r="C2199" s="51" t="str">
        <f>+IFERROR(IF(Tabla4[[#This Row],[FECHA]]&gt;$B$1,1,""),"")</f>
        <v/>
      </c>
    </row>
    <row r="2200" spans="3:3" x14ac:dyDescent="0.25">
      <c r="C2200" s="51" t="str">
        <f>+IFERROR(IF(Tabla4[[#This Row],[FECHA]]&gt;$B$1,1,""),"")</f>
        <v/>
      </c>
    </row>
    <row r="2201" spans="3:3" x14ac:dyDescent="0.25">
      <c r="C2201" s="51" t="str">
        <f>+IFERROR(IF(Tabla4[[#This Row],[FECHA]]&gt;$B$1,1,""),"")</f>
        <v/>
      </c>
    </row>
    <row r="2202" spans="3:3" x14ac:dyDescent="0.25">
      <c r="C2202" s="51" t="str">
        <f>+IFERROR(IF(Tabla4[[#This Row],[FECHA]]&gt;$B$1,1,""),"")</f>
        <v/>
      </c>
    </row>
    <row r="2203" spans="3:3" x14ac:dyDescent="0.25">
      <c r="C2203" s="51" t="str">
        <f>+IFERROR(IF(Tabla4[[#This Row],[FECHA]]&gt;$B$1,1,""),"")</f>
        <v/>
      </c>
    </row>
    <row r="2204" spans="3:3" x14ac:dyDescent="0.25">
      <c r="C2204" s="51" t="str">
        <f>+IFERROR(IF(Tabla4[[#This Row],[FECHA]]&gt;$B$1,1,""),"")</f>
        <v/>
      </c>
    </row>
    <row r="2205" spans="3:3" x14ac:dyDescent="0.25">
      <c r="C2205" s="51" t="str">
        <f>+IFERROR(IF(Tabla4[[#This Row],[FECHA]]&gt;$B$1,1,""),"")</f>
        <v/>
      </c>
    </row>
    <row r="2206" spans="3:3" x14ac:dyDescent="0.25">
      <c r="C2206" s="51" t="str">
        <f>+IFERROR(IF(Tabla4[[#This Row],[FECHA]]&gt;$B$1,1,""),"")</f>
        <v/>
      </c>
    </row>
    <row r="2207" spans="3:3" x14ac:dyDescent="0.25">
      <c r="C2207" s="51" t="str">
        <f>+IFERROR(IF(Tabla4[[#This Row],[FECHA]]&gt;$B$1,1,""),"")</f>
        <v/>
      </c>
    </row>
    <row r="2208" spans="3:3" x14ac:dyDescent="0.25">
      <c r="C2208" s="51" t="str">
        <f>+IFERROR(IF(Tabla4[[#This Row],[FECHA]]&gt;$B$1,1,""),"")</f>
        <v/>
      </c>
    </row>
    <row r="2209" spans="3:3" x14ac:dyDescent="0.25">
      <c r="C2209" s="51" t="str">
        <f>+IFERROR(IF(Tabla4[[#This Row],[FECHA]]&gt;$B$1,1,""),"")</f>
        <v/>
      </c>
    </row>
    <row r="2210" spans="3:3" x14ac:dyDescent="0.25">
      <c r="C2210" s="51" t="str">
        <f>+IFERROR(IF(Tabla4[[#This Row],[FECHA]]&gt;$B$1,1,""),"")</f>
        <v/>
      </c>
    </row>
    <row r="2211" spans="3:3" x14ac:dyDescent="0.25">
      <c r="C2211" s="51" t="str">
        <f>+IFERROR(IF(Tabla4[[#This Row],[FECHA]]&gt;$B$1,1,""),"")</f>
        <v/>
      </c>
    </row>
    <row r="2212" spans="3:3" x14ac:dyDescent="0.25">
      <c r="C2212" s="51" t="str">
        <f>+IFERROR(IF(Tabla4[[#This Row],[FECHA]]&gt;$B$1,1,""),"")</f>
        <v/>
      </c>
    </row>
    <row r="2213" spans="3:3" x14ac:dyDescent="0.25">
      <c r="C2213" s="51" t="str">
        <f>+IFERROR(IF(Tabla4[[#This Row],[FECHA]]&gt;$B$1,1,""),"")</f>
        <v/>
      </c>
    </row>
    <row r="2214" spans="3:3" x14ac:dyDescent="0.25">
      <c r="C2214" s="51" t="str">
        <f>+IFERROR(IF(Tabla4[[#This Row],[FECHA]]&gt;$B$1,1,""),"")</f>
        <v/>
      </c>
    </row>
    <row r="2215" spans="3:3" x14ac:dyDescent="0.25">
      <c r="C2215" s="51" t="str">
        <f>+IFERROR(IF(Tabla4[[#This Row],[FECHA]]&gt;$B$1,1,""),"")</f>
        <v/>
      </c>
    </row>
    <row r="2216" spans="3:3" x14ac:dyDescent="0.25">
      <c r="C2216" s="51" t="str">
        <f>+IFERROR(IF(Tabla4[[#This Row],[FECHA]]&gt;$B$1,1,""),"")</f>
        <v/>
      </c>
    </row>
    <row r="2217" spans="3:3" x14ac:dyDescent="0.25">
      <c r="C2217" s="51" t="str">
        <f>+IFERROR(IF(Tabla4[[#This Row],[FECHA]]&gt;$B$1,1,""),"")</f>
        <v/>
      </c>
    </row>
    <row r="2218" spans="3:3" x14ac:dyDescent="0.25">
      <c r="C2218" s="51" t="str">
        <f>+IFERROR(IF(Tabla4[[#This Row],[FECHA]]&gt;$B$1,1,""),"")</f>
        <v/>
      </c>
    </row>
    <row r="2219" spans="3:3" x14ac:dyDescent="0.25">
      <c r="C2219" s="51" t="str">
        <f>+IFERROR(IF(Tabla4[[#This Row],[FECHA]]&gt;$B$1,1,""),"")</f>
        <v/>
      </c>
    </row>
    <row r="2220" spans="3:3" x14ac:dyDescent="0.25">
      <c r="C2220" s="51" t="str">
        <f>+IFERROR(IF(Tabla4[[#This Row],[FECHA]]&gt;$B$1,1,""),"")</f>
        <v/>
      </c>
    </row>
    <row r="2221" spans="3:3" x14ac:dyDescent="0.25">
      <c r="C2221" s="51" t="str">
        <f>+IFERROR(IF(Tabla4[[#This Row],[FECHA]]&gt;$B$1,1,""),"")</f>
        <v/>
      </c>
    </row>
    <row r="2222" spans="3:3" x14ac:dyDescent="0.25">
      <c r="C2222" s="51" t="str">
        <f>+IFERROR(IF(Tabla4[[#This Row],[FECHA]]&gt;$B$1,1,""),"")</f>
        <v/>
      </c>
    </row>
    <row r="2223" spans="3:3" x14ac:dyDescent="0.25">
      <c r="C2223" s="51" t="str">
        <f>+IFERROR(IF(Tabla4[[#This Row],[FECHA]]&gt;$B$1,1,""),"")</f>
        <v/>
      </c>
    </row>
    <row r="2224" spans="3:3" x14ac:dyDescent="0.25">
      <c r="C2224" s="51" t="str">
        <f>+IFERROR(IF(Tabla4[[#This Row],[FECHA]]&gt;$B$1,1,""),"")</f>
        <v/>
      </c>
    </row>
    <row r="2225" spans="3:3" x14ac:dyDescent="0.25">
      <c r="C2225" s="51" t="str">
        <f>+IFERROR(IF(Tabla4[[#This Row],[FECHA]]&gt;$B$1,1,""),"")</f>
        <v/>
      </c>
    </row>
    <row r="2226" spans="3:3" x14ac:dyDescent="0.25">
      <c r="C2226" s="51" t="str">
        <f>+IFERROR(IF(Tabla4[[#This Row],[FECHA]]&gt;$B$1,1,""),"")</f>
        <v/>
      </c>
    </row>
    <row r="2227" spans="3:3" x14ac:dyDescent="0.25">
      <c r="C2227" s="51" t="str">
        <f>+IFERROR(IF(Tabla4[[#This Row],[FECHA]]&gt;$B$1,1,""),"")</f>
        <v/>
      </c>
    </row>
    <row r="2228" spans="3:3" x14ac:dyDescent="0.25">
      <c r="C2228" s="51" t="str">
        <f>+IFERROR(IF(Tabla4[[#This Row],[FECHA]]&gt;$B$1,1,""),"")</f>
        <v/>
      </c>
    </row>
    <row r="2229" spans="3:3" x14ac:dyDescent="0.25">
      <c r="C2229" s="51" t="str">
        <f>+IFERROR(IF(Tabla4[[#This Row],[FECHA]]&gt;$B$1,1,""),"")</f>
        <v/>
      </c>
    </row>
    <row r="2230" spans="3:3" x14ac:dyDescent="0.25">
      <c r="C2230" s="51" t="str">
        <f>+IFERROR(IF(Tabla4[[#This Row],[FECHA]]&gt;$B$1,1,""),"")</f>
        <v/>
      </c>
    </row>
    <row r="2231" spans="3:3" x14ac:dyDescent="0.25">
      <c r="C2231" s="51" t="str">
        <f>+IFERROR(IF(Tabla4[[#This Row],[FECHA]]&gt;$B$1,1,""),"")</f>
        <v/>
      </c>
    </row>
    <row r="2232" spans="3:3" x14ac:dyDescent="0.25">
      <c r="C2232" s="51" t="str">
        <f>+IFERROR(IF(Tabla4[[#This Row],[FECHA]]&gt;$B$1,1,""),"")</f>
        <v/>
      </c>
    </row>
    <row r="2233" spans="3:3" x14ac:dyDescent="0.25">
      <c r="C2233" s="51" t="str">
        <f>+IFERROR(IF(Tabla4[[#This Row],[FECHA]]&gt;$B$1,1,""),"")</f>
        <v/>
      </c>
    </row>
    <row r="2234" spans="3:3" x14ac:dyDescent="0.25">
      <c r="C2234" s="51" t="str">
        <f>+IFERROR(IF(Tabla4[[#This Row],[FECHA]]&gt;$B$1,1,""),"")</f>
        <v/>
      </c>
    </row>
    <row r="2235" spans="3:3" x14ac:dyDescent="0.25">
      <c r="C2235" s="51" t="str">
        <f>+IFERROR(IF(Tabla4[[#This Row],[FECHA]]&gt;$B$1,1,""),"")</f>
        <v/>
      </c>
    </row>
    <row r="2236" spans="3:3" x14ac:dyDescent="0.25">
      <c r="C2236" s="51" t="str">
        <f>+IFERROR(IF(Tabla4[[#This Row],[FECHA]]&gt;$B$1,1,""),"")</f>
        <v/>
      </c>
    </row>
    <row r="2237" spans="3:3" x14ac:dyDescent="0.25">
      <c r="C2237" s="51" t="str">
        <f>+IFERROR(IF(Tabla4[[#This Row],[FECHA]]&gt;$B$1,1,""),"")</f>
        <v/>
      </c>
    </row>
    <row r="2238" spans="3:3" x14ac:dyDescent="0.25">
      <c r="C2238" s="51" t="str">
        <f>+IFERROR(IF(Tabla4[[#This Row],[FECHA]]&gt;$B$1,1,""),"")</f>
        <v/>
      </c>
    </row>
    <row r="2239" spans="3:3" x14ac:dyDescent="0.25">
      <c r="C2239" s="51" t="str">
        <f>+IFERROR(IF(Tabla4[[#This Row],[FECHA]]&gt;$B$1,1,""),"")</f>
        <v/>
      </c>
    </row>
    <row r="2240" spans="3:3" x14ac:dyDescent="0.25">
      <c r="C2240" s="51" t="str">
        <f>+IFERROR(IF(Tabla4[[#This Row],[FECHA]]&gt;$B$1,1,""),"")</f>
        <v/>
      </c>
    </row>
    <row r="2241" spans="3:3" x14ac:dyDescent="0.25">
      <c r="C2241" s="51" t="str">
        <f>+IFERROR(IF(Tabla4[[#This Row],[FECHA]]&gt;$B$1,1,""),"")</f>
        <v/>
      </c>
    </row>
    <row r="2242" spans="3:3" x14ac:dyDescent="0.25">
      <c r="C2242" s="51" t="str">
        <f>+IFERROR(IF(Tabla4[[#This Row],[FECHA]]&gt;$B$1,1,""),"")</f>
        <v/>
      </c>
    </row>
    <row r="2243" spans="3:3" x14ac:dyDescent="0.25">
      <c r="C2243" s="51" t="str">
        <f>+IFERROR(IF(Tabla4[[#This Row],[FECHA]]&gt;$B$1,1,""),"")</f>
        <v/>
      </c>
    </row>
    <row r="2244" spans="3:3" x14ac:dyDescent="0.25">
      <c r="C2244" s="51" t="str">
        <f>+IFERROR(IF(Tabla4[[#This Row],[FECHA]]&gt;$B$1,1,""),"")</f>
        <v/>
      </c>
    </row>
    <row r="2245" spans="3:3" x14ac:dyDescent="0.25">
      <c r="C2245" s="51" t="str">
        <f>+IFERROR(IF(Tabla4[[#This Row],[FECHA]]&gt;$B$1,1,""),"")</f>
        <v/>
      </c>
    </row>
    <row r="2246" spans="3:3" x14ac:dyDescent="0.25">
      <c r="C2246" s="51" t="str">
        <f>+IFERROR(IF(Tabla4[[#This Row],[FECHA]]&gt;$B$1,1,""),"")</f>
        <v/>
      </c>
    </row>
    <row r="2247" spans="3:3" x14ac:dyDescent="0.25">
      <c r="C2247" s="51" t="str">
        <f>+IFERROR(IF(Tabla4[[#This Row],[FECHA]]&gt;$B$1,1,""),"")</f>
        <v/>
      </c>
    </row>
    <row r="2248" spans="3:3" x14ac:dyDescent="0.25">
      <c r="C2248" s="51" t="str">
        <f>+IFERROR(IF(Tabla4[[#This Row],[FECHA]]&gt;$B$1,1,""),"")</f>
        <v/>
      </c>
    </row>
    <row r="2249" spans="3:3" x14ac:dyDescent="0.25">
      <c r="C2249" s="51" t="str">
        <f>+IFERROR(IF(Tabla4[[#This Row],[FECHA]]&gt;$B$1,1,""),"")</f>
        <v/>
      </c>
    </row>
    <row r="2250" spans="3:3" x14ac:dyDescent="0.25">
      <c r="C2250" s="51" t="str">
        <f>+IFERROR(IF(Tabla4[[#This Row],[FECHA]]&gt;$B$1,1,""),"")</f>
        <v/>
      </c>
    </row>
    <row r="2251" spans="3:3" x14ac:dyDescent="0.25">
      <c r="C2251" s="51" t="str">
        <f>+IFERROR(IF(Tabla4[[#This Row],[FECHA]]&gt;$B$1,1,""),"")</f>
        <v/>
      </c>
    </row>
    <row r="2252" spans="3:3" x14ac:dyDescent="0.25">
      <c r="C2252" s="51" t="str">
        <f>+IFERROR(IF(Tabla4[[#This Row],[FECHA]]&gt;$B$1,1,""),"")</f>
        <v/>
      </c>
    </row>
    <row r="2253" spans="3:3" x14ac:dyDescent="0.25">
      <c r="C2253" s="51" t="str">
        <f>+IFERROR(IF(Tabla4[[#This Row],[FECHA]]&gt;$B$1,1,""),"")</f>
        <v/>
      </c>
    </row>
    <row r="2254" spans="3:3" x14ac:dyDescent="0.25">
      <c r="C2254" s="51" t="str">
        <f>+IFERROR(IF(Tabla4[[#This Row],[FECHA]]&gt;$B$1,1,""),"")</f>
        <v/>
      </c>
    </row>
    <row r="2255" spans="3:3" x14ac:dyDescent="0.25">
      <c r="C2255" s="51" t="str">
        <f>+IFERROR(IF(Tabla4[[#This Row],[FECHA]]&gt;$B$1,1,""),"")</f>
        <v/>
      </c>
    </row>
    <row r="2256" spans="3:3" x14ac:dyDescent="0.25">
      <c r="C2256" s="51" t="str">
        <f>+IFERROR(IF(Tabla4[[#This Row],[FECHA]]&gt;$B$1,1,""),"")</f>
        <v/>
      </c>
    </row>
    <row r="2257" spans="3:3" x14ac:dyDescent="0.25">
      <c r="C2257" s="51" t="str">
        <f>+IFERROR(IF(Tabla4[[#This Row],[FECHA]]&gt;$B$1,1,""),"")</f>
        <v/>
      </c>
    </row>
    <row r="2258" spans="3:3" x14ac:dyDescent="0.25">
      <c r="C2258" s="51" t="str">
        <f>+IFERROR(IF(Tabla4[[#This Row],[FECHA]]&gt;$B$1,1,""),"")</f>
        <v/>
      </c>
    </row>
    <row r="2259" spans="3:3" x14ac:dyDescent="0.25">
      <c r="C2259" s="51" t="str">
        <f>+IFERROR(IF(Tabla4[[#This Row],[FECHA]]&gt;$B$1,1,""),"")</f>
        <v/>
      </c>
    </row>
    <row r="2260" spans="3:3" x14ac:dyDescent="0.25">
      <c r="C2260" s="51" t="str">
        <f>+IFERROR(IF(Tabla4[[#This Row],[FECHA]]&gt;$B$1,1,""),"")</f>
        <v/>
      </c>
    </row>
    <row r="2261" spans="3:3" x14ac:dyDescent="0.25">
      <c r="C2261" s="51" t="str">
        <f>+IFERROR(IF(Tabla4[[#This Row],[FECHA]]&gt;$B$1,1,""),"")</f>
        <v/>
      </c>
    </row>
    <row r="2262" spans="3:3" x14ac:dyDescent="0.25">
      <c r="C2262" s="51" t="str">
        <f>+IFERROR(IF(Tabla4[[#This Row],[FECHA]]&gt;$B$1,1,""),"")</f>
        <v/>
      </c>
    </row>
    <row r="2263" spans="3:3" x14ac:dyDescent="0.25">
      <c r="C2263" s="51" t="str">
        <f>+IFERROR(IF(Tabla4[[#This Row],[FECHA]]&gt;$B$1,1,""),"")</f>
        <v/>
      </c>
    </row>
    <row r="2264" spans="3:3" x14ac:dyDescent="0.25">
      <c r="C2264" s="51" t="str">
        <f>+IFERROR(IF(Tabla4[[#This Row],[FECHA]]&gt;$B$1,1,""),"")</f>
        <v/>
      </c>
    </row>
    <row r="2265" spans="3:3" x14ac:dyDescent="0.25">
      <c r="C2265" s="51" t="str">
        <f>+IFERROR(IF(Tabla4[[#This Row],[FECHA]]&gt;$B$1,1,""),"")</f>
        <v/>
      </c>
    </row>
    <row r="2266" spans="3:3" x14ac:dyDescent="0.25">
      <c r="C2266" s="51" t="str">
        <f>+IFERROR(IF(Tabla4[[#This Row],[FECHA]]&gt;$B$1,1,""),"")</f>
        <v/>
      </c>
    </row>
    <row r="2267" spans="3:3" x14ac:dyDescent="0.25">
      <c r="C2267" s="51" t="str">
        <f>+IFERROR(IF(Tabla4[[#This Row],[FECHA]]&gt;$B$1,1,""),"")</f>
        <v/>
      </c>
    </row>
    <row r="2268" spans="3:3" x14ac:dyDescent="0.25">
      <c r="C2268" s="51" t="str">
        <f>+IFERROR(IF(Tabla4[[#This Row],[FECHA]]&gt;$B$1,1,""),"")</f>
        <v/>
      </c>
    </row>
    <row r="2269" spans="3:3" x14ac:dyDescent="0.25">
      <c r="C2269" s="51" t="str">
        <f>+IFERROR(IF(Tabla4[[#This Row],[FECHA]]&gt;$B$1,1,""),"")</f>
        <v/>
      </c>
    </row>
    <row r="2270" spans="3:3" x14ac:dyDescent="0.25">
      <c r="C2270" s="51" t="str">
        <f>+IFERROR(IF(Tabla4[[#This Row],[FECHA]]&gt;$B$1,1,""),"")</f>
        <v/>
      </c>
    </row>
    <row r="2271" spans="3:3" x14ac:dyDescent="0.25">
      <c r="C2271" s="51" t="str">
        <f>+IFERROR(IF(Tabla4[[#This Row],[FECHA]]&gt;$B$1,1,""),"")</f>
        <v/>
      </c>
    </row>
    <row r="2272" spans="3:3" x14ac:dyDescent="0.25">
      <c r="C2272" s="51" t="str">
        <f>+IFERROR(IF(Tabla4[[#This Row],[FECHA]]&gt;$B$1,1,""),"")</f>
        <v/>
      </c>
    </row>
    <row r="2273" spans="3:3" x14ac:dyDescent="0.25">
      <c r="C2273" s="51" t="str">
        <f>+IFERROR(IF(Tabla4[[#This Row],[FECHA]]&gt;$B$1,1,""),"")</f>
        <v/>
      </c>
    </row>
    <row r="2274" spans="3:3" x14ac:dyDescent="0.25">
      <c r="C2274" s="51" t="str">
        <f>+IFERROR(IF(Tabla4[[#This Row],[FECHA]]&gt;$B$1,1,""),"")</f>
        <v/>
      </c>
    </row>
    <row r="2275" spans="3:3" x14ac:dyDescent="0.25">
      <c r="C2275" s="51" t="str">
        <f>+IFERROR(IF(Tabla4[[#This Row],[FECHA]]&gt;$B$1,1,""),"")</f>
        <v/>
      </c>
    </row>
    <row r="2276" spans="3:3" x14ac:dyDescent="0.25">
      <c r="C2276" s="51" t="str">
        <f>+IFERROR(IF(Tabla4[[#This Row],[FECHA]]&gt;$B$1,1,""),"")</f>
        <v/>
      </c>
    </row>
    <row r="2277" spans="3:3" x14ac:dyDescent="0.25">
      <c r="C2277" s="51" t="str">
        <f>+IFERROR(IF(Tabla4[[#This Row],[FECHA]]&gt;$B$1,1,""),"")</f>
        <v/>
      </c>
    </row>
    <row r="2278" spans="3:3" x14ac:dyDescent="0.25">
      <c r="C2278" s="51" t="str">
        <f>+IFERROR(IF(Tabla4[[#This Row],[FECHA]]&gt;$B$1,1,""),"")</f>
        <v/>
      </c>
    </row>
    <row r="2279" spans="3:3" x14ac:dyDescent="0.25">
      <c r="C2279" s="51" t="str">
        <f>+IFERROR(IF(Tabla4[[#This Row],[FECHA]]&gt;$B$1,1,""),"")</f>
        <v/>
      </c>
    </row>
    <row r="2280" spans="3:3" x14ac:dyDescent="0.25">
      <c r="C2280" s="51" t="str">
        <f>+IFERROR(IF(Tabla4[[#This Row],[FECHA]]&gt;$B$1,1,""),"")</f>
        <v/>
      </c>
    </row>
    <row r="2281" spans="3:3" x14ac:dyDescent="0.25">
      <c r="C2281" s="51" t="str">
        <f>+IFERROR(IF(Tabla4[[#This Row],[FECHA]]&gt;$B$1,1,""),"")</f>
        <v/>
      </c>
    </row>
    <row r="2282" spans="3:3" x14ac:dyDescent="0.25">
      <c r="C2282" s="51" t="str">
        <f>+IFERROR(IF(Tabla4[[#This Row],[FECHA]]&gt;$B$1,1,""),"")</f>
        <v/>
      </c>
    </row>
    <row r="2283" spans="3:3" x14ac:dyDescent="0.25">
      <c r="C2283" s="51" t="str">
        <f>+IFERROR(IF(Tabla4[[#This Row],[FECHA]]&gt;$B$1,1,""),"")</f>
        <v/>
      </c>
    </row>
    <row r="2284" spans="3:3" x14ac:dyDescent="0.25">
      <c r="C2284" s="51" t="str">
        <f>+IFERROR(IF(Tabla4[[#This Row],[FECHA]]&gt;$B$1,1,""),"")</f>
        <v/>
      </c>
    </row>
    <row r="2285" spans="3:3" x14ac:dyDescent="0.25">
      <c r="C2285" s="51" t="str">
        <f>+IFERROR(IF(Tabla4[[#This Row],[FECHA]]&gt;$B$1,1,""),"")</f>
        <v/>
      </c>
    </row>
    <row r="2286" spans="3:3" x14ac:dyDescent="0.25">
      <c r="C2286" s="51" t="str">
        <f>+IFERROR(IF(Tabla4[[#This Row],[FECHA]]&gt;$B$1,1,""),"")</f>
        <v/>
      </c>
    </row>
    <row r="2287" spans="3:3" x14ac:dyDescent="0.25">
      <c r="C2287" s="51" t="str">
        <f>+IFERROR(IF(Tabla4[[#This Row],[FECHA]]&gt;$B$1,1,""),"")</f>
        <v/>
      </c>
    </row>
    <row r="2288" spans="3:3" x14ac:dyDescent="0.25">
      <c r="C2288" s="51" t="str">
        <f>+IFERROR(IF(Tabla4[[#This Row],[FECHA]]&gt;$B$1,1,""),"")</f>
        <v/>
      </c>
    </row>
    <row r="2289" spans="3:3" x14ac:dyDescent="0.25">
      <c r="C2289" s="51" t="str">
        <f>+IFERROR(IF(Tabla4[[#This Row],[FECHA]]&gt;$B$1,1,""),"")</f>
        <v/>
      </c>
    </row>
    <row r="2290" spans="3:3" x14ac:dyDescent="0.25">
      <c r="C2290" s="51" t="str">
        <f>+IFERROR(IF(Tabla4[[#This Row],[FECHA]]&gt;$B$1,1,""),"")</f>
        <v/>
      </c>
    </row>
    <row r="2291" spans="3:3" x14ac:dyDescent="0.25">
      <c r="C2291" s="51" t="str">
        <f>+IFERROR(IF(Tabla4[[#This Row],[FECHA]]&gt;$B$1,1,""),"")</f>
        <v/>
      </c>
    </row>
    <row r="2292" spans="3:3" x14ac:dyDescent="0.25">
      <c r="C2292" s="51" t="str">
        <f>+IFERROR(IF(Tabla4[[#This Row],[FECHA]]&gt;$B$1,1,""),"")</f>
        <v/>
      </c>
    </row>
    <row r="2293" spans="3:3" x14ac:dyDescent="0.25">
      <c r="C2293" s="51" t="str">
        <f>+IFERROR(IF(Tabla4[[#This Row],[FECHA]]&gt;$B$1,1,""),"")</f>
        <v/>
      </c>
    </row>
    <row r="2294" spans="3:3" x14ac:dyDescent="0.25">
      <c r="C2294" s="51" t="str">
        <f>+IFERROR(IF(Tabla4[[#This Row],[FECHA]]&gt;$B$1,1,""),"")</f>
        <v/>
      </c>
    </row>
    <row r="2295" spans="3:3" x14ac:dyDescent="0.25">
      <c r="C2295" s="51" t="str">
        <f>+IFERROR(IF(Tabla4[[#This Row],[FECHA]]&gt;$B$1,1,""),"")</f>
        <v/>
      </c>
    </row>
    <row r="2296" spans="3:3" x14ac:dyDescent="0.25">
      <c r="C2296" s="51" t="str">
        <f>+IFERROR(IF(Tabla4[[#This Row],[FECHA]]&gt;$B$1,1,""),"")</f>
        <v/>
      </c>
    </row>
    <row r="2297" spans="3:3" x14ac:dyDescent="0.25">
      <c r="C2297" s="51" t="str">
        <f>+IFERROR(IF(Tabla4[[#This Row],[FECHA]]&gt;$B$1,1,""),"")</f>
        <v/>
      </c>
    </row>
    <row r="2298" spans="3:3" x14ac:dyDescent="0.25">
      <c r="C2298" s="51" t="str">
        <f>+IFERROR(IF(Tabla4[[#This Row],[FECHA]]&gt;$B$1,1,""),"")</f>
        <v/>
      </c>
    </row>
    <row r="2299" spans="3:3" x14ac:dyDescent="0.25">
      <c r="C2299" s="51" t="str">
        <f>+IFERROR(IF(Tabla4[[#This Row],[FECHA]]&gt;$B$1,1,""),"")</f>
        <v/>
      </c>
    </row>
    <row r="2300" spans="3:3" x14ac:dyDescent="0.25">
      <c r="C2300" s="51" t="str">
        <f>+IFERROR(IF(Tabla4[[#This Row],[FECHA]]&gt;$B$1,1,""),"")</f>
        <v/>
      </c>
    </row>
    <row r="2301" spans="3:3" x14ac:dyDescent="0.25">
      <c r="C2301" s="51" t="str">
        <f>+IFERROR(IF(Tabla4[[#This Row],[FECHA]]&gt;$B$1,1,""),"")</f>
        <v/>
      </c>
    </row>
    <row r="2302" spans="3:3" x14ac:dyDescent="0.25">
      <c r="C2302" s="51" t="str">
        <f>+IFERROR(IF(Tabla4[[#This Row],[FECHA]]&gt;$B$1,1,""),"")</f>
        <v/>
      </c>
    </row>
    <row r="2303" spans="3:3" x14ac:dyDescent="0.25">
      <c r="C2303" s="51" t="str">
        <f>+IFERROR(IF(Tabla4[[#This Row],[FECHA]]&gt;$B$1,1,""),"")</f>
        <v/>
      </c>
    </row>
    <row r="2304" spans="3:3" x14ac:dyDescent="0.25">
      <c r="C2304" s="51" t="str">
        <f>+IFERROR(IF(Tabla4[[#This Row],[FECHA]]&gt;$B$1,1,""),"")</f>
        <v/>
      </c>
    </row>
    <row r="2305" spans="3:3" x14ac:dyDescent="0.25">
      <c r="C2305" s="51" t="str">
        <f>+IFERROR(IF(Tabla4[[#This Row],[FECHA]]&gt;$B$1,1,""),"")</f>
        <v/>
      </c>
    </row>
    <row r="2306" spans="3:3" x14ac:dyDescent="0.25">
      <c r="C2306" s="51" t="str">
        <f>+IFERROR(IF(Tabla4[[#This Row],[FECHA]]&gt;$B$1,1,""),"")</f>
        <v/>
      </c>
    </row>
    <row r="2307" spans="3:3" x14ac:dyDescent="0.25">
      <c r="C2307" s="51" t="str">
        <f>+IFERROR(IF(Tabla4[[#This Row],[FECHA]]&gt;$B$1,1,""),"")</f>
        <v/>
      </c>
    </row>
    <row r="2308" spans="3:3" x14ac:dyDescent="0.25">
      <c r="C2308" s="51" t="str">
        <f>+IFERROR(IF(Tabla4[[#This Row],[FECHA]]&gt;$B$1,1,""),"")</f>
        <v/>
      </c>
    </row>
    <row r="2309" spans="3:3" x14ac:dyDescent="0.25">
      <c r="C2309" s="51" t="str">
        <f>+IFERROR(IF(Tabla4[[#This Row],[FECHA]]&gt;$B$1,1,""),"")</f>
        <v/>
      </c>
    </row>
    <row r="2310" spans="3:3" x14ac:dyDescent="0.25">
      <c r="C2310" s="51" t="str">
        <f>+IFERROR(IF(Tabla4[[#This Row],[FECHA]]&gt;$B$1,1,""),"")</f>
        <v/>
      </c>
    </row>
    <row r="2311" spans="3:3" x14ac:dyDescent="0.25">
      <c r="C2311" s="51" t="str">
        <f>+IFERROR(IF(Tabla4[[#This Row],[FECHA]]&gt;$B$1,1,""),"")</f>
        <v/>
      </c>
    </row>
    <row r="2312" spans="3:3" x14ac:dyDescent="0.25">
      <c r="C2312" s="51" t="str">
        <f>+IFERROR(IF(Tabla4[[#This Row],[FECHA]]&gt;$B$1,1,""),"")</f>
        <v/>
      </c>
    </row>
    <row r="2313" spans="3:3" x14ac:dyDescent="0.25">
      <c r="C2313" s="51" t="str">
        <f>+IFERROR(IF(Tabla4[[#This Row],[FECHA]]&gt;$B$1,1,""),"")</f>
        <v/>
      </c>
    </row>
    <row r="2314" spans="3:3" x14ac:dyDescent="0.25">
      <c r="C2314" s="51" t="str">
        <f>+IFERROR(IF(Tabla4[[#This Row],[FECHA]]&gt;$B$1,1,""),"")</f>
        <v/>
      </c>
    </row>
    <row r="2315" spans="3:3" x14ac:dyDescent="0.25">
      <c r="C2315" s="51" t="str">
        <f>+IFERROR(IF(Tabla4[[#This Row],[FECHA]]&gt;$B$1,1,""),"")</f>
        <v/>
      </c>
    </row>
    <row r="2316" spans="3:3" x14ac:dyDescent="0.25">
      <c r="C2316" s="51" t="str">
        <f>+IFERROR(IF(Tabla4[[#This Row],[FECHA]]&gt;$B$1,1,""),"")</f>
        <v/>
      </c>
    </row>
    <row r="2317" spans="3:3" x14ac:dyDescent="0.25">
      <c r="C2317" s="51" t="str">
        <f>+IFERROR(IF(Tabla4[[#This Row],[FECHA]]&gt;$B$1,1,""),"")</f>
        <v/>
      </c>
    </row>
    <row r="2318" spans="3:3" x14ac:dyDescent="0.25">
      <c r="C2318" s="51" t="str">
        <f>+IFERROR(IF(Tabla4[[#This Row],[FECHA]]&gt;$B$1,1,""),"")</f>
        <v/>
      </c>
    </row>
    <row r="2319" spans="3:3" x14ac:dyDescent="0.25">
      <c r="C2319" s="51" t="str">
        <f>+IFERROR(IF(Tabla4[[#This Row],[FECHA]]&gt;$B$1,1,""),"")</f>
        <v/>
      </c>
    </row>
    <row r="2320" spans="3:3" x14ac:dyDescent="0.25">
      <c r="C2320" s="51" t="str">
        <f>+IFERROR(IF(Tabla4[[#This Row],[FECHA]]&gt;$B$1,1,""),"")</f>
        <v/>
      </c>
    </row>
    <row r="2321" spans="3:3" x14ac:dyDescent="0.25">
      <c r="C2321" s="51" t="str">
        <f>+IFERROR(IF(Tabla4[[#This Row],[FECHA]]&gt;$B$1,1,""),"")</f>
        <v/>
      </c>
    </row>
    <row r="2322" spans="3:3" x14ac:dyDescent="0.25">
      <c r="C2322" s="51" t="str">
        <f>+IFERROR(IF(Tabla4[[#This Row],[FECHA]]&gt;$B$1,1,""),"")</f>
        <v/>
      </c>
    </row>
    <row r="2323" spans="3:3" x14ac:dyDescent="0.25">
      <c r="C2323" s="51" t="str">
        <f>+IFERROR(IF(Tabla4[[#This Row],[FECHA]]&gt;$B$1,1,""),"")</f>
        <v/>
      </c>
    </row>
    <row r="2324" spans="3:3" x14ac:dyDescent="0.25">
      <c r="C2324" s="51" t="str">
        <f>+IFERROR(IF(Tabla4[[#This Row],[FECHA]]&gt;$B$1,1,""),"")</f>
        <v/>
      </c>
    </row>
    <row r="2325" spans="3:3" x14ac:dyDescent="0.25">
      <c r="C2325" s="51" t="str">
        <f>+IFERROR(IF(Tabla4[[#This Row],[FECHA]]&gt;$B$1,1,""),"")</f>
        <v/>
      </c>
    </row>
    <row r="2326" spans="3:3" x14ac:dyDescent="0.25">
      <c r="C2326" s="51" t="str">
        <f>+IFERROR(IF(Tabla4[[#This Row],[FECHA]]&gt;$B$1,1,""),"")</f>
        <v/>
      </c>
    </row>
    <row r="2327" spans="3:3" x14ac:dyDescent="0.25">
      <c r="C2327" s="51" t="str">
        <f>+IFERROR(IF(Tabla4[[#This Row],[FECHA]]&gt;$B$1,1,""),"")</f>
        <v/>
      </c>
    </row>
    <row r="2328" spans="3:3" x14ac:dyDescent="0.25">
      <c r="C2328" s="51" t="str">
        <f>+IFERROR(IF(Tabla4[[#This Row],[FECHA]]&gt;$B$1,1,""),"")</f>
        <v/>
      </c>
    </row>
    <row r="2329" spans="3:3" x14ac:dyDescent="0.25">
      <c r="C2329" s="51" t="str">
        <f>+IFERROR(IF(Tabla4[[#This Row],[FECHA]]&gt;$B$1,1,""),"")</f>
        <v/>
      </c>
    </row>
    <row r="2330" spans="3:3" x14ac:dyDescent="0.25">
      <c r="C2330" s="51" t="str">
        <f>+IFERROR(IF(Tabla4[[#This Row],[FECHA]]&gt;$B$1,1,""),"")</f>
        <v/>
      </c>
    </row>
    <row r="2331" spans="3:3" x14ac:dyDescent="0.25">
      <c r="C2331" s="51" t="str">
        <f>+IFERROR(IF(Tabla4[[#This Row],[FECHA]]&gt;$B$1,1,""),"")</f>
        <v/>
      </c>
    </row>
    <row r="2332" spans="3:3" x14ac:dyDescent="0.25">
      <c r="C2332" s="51" t="str">
        <f>+IFERROR(IF(Tabla4[[#This Row],[FECHA]]&gt;$B$1,1,""),"")</f>
        <v/>
      </c>
    </row>
    <row r="2333" spans="3:3" x14ac:dyDescent="0.25">
      <c r="C2333" s="51" t="str">
        <f>+IFERROR(IF(Tabla4[[#This Row],[FECHA]]&gt;$B$1,1,""),"")</f>
        <v/>
      </c>
    </row>
    <row r="2334" spans="3:3" x14ac:dyDescent="0.25">
      <c r="C2334" s="51" t="str">
        <f>+IFERROR(IF(Tabla4[[#This Row],[FECHA]]&gt;$B$1,1,""),"")</f>
        <v/>
      </c>
    </row>
    <row r="2335" spans="3:3" x14ac:dyDescent="0.25">
      <c r="C2335" s="51" t="str">
        <f>+IFERROR(IF(Tabla4[[#This Row],[FECHA]]&gt;$B$1,1,""),"")</f>
        <v/>
      </c>
    </row>
    <row r="2336" spans="3:3" x14ac:dyDescent="0.25">
      <c r="C2336" s="51" t="str">
        <f>+IFERROR(IF(Tabla4[[#This Row],[FECHA]]&gt;$B$1,1,""),"")</f>
        <v/>
      </c>
    </row>
    <row r="2337" spans="3:3" x14ac:dyDescent="0.25">
      <c r="C2337" s="51" t="str">
        <f>+IFERROR(IF(Tabla4[[#This Row],[FECHA]]&gt;$B$1,1,""),"")</f>
        <v/>
      </c>
    </row>
    <row r="2338" spans="3:3" x14ac:dyDescent="0.25">
      <c r="C2338" s="51" t="str">
        <f>+IFERROR(IF(Tabla4[[#This Row],[FECHA]]&gt;$B$1,1,""),"")</f>
        <v/>
      </c>
    </row>
    <row r="2339" spans="3:3" x14ac:dyDescent="0.25">
      <c r="C2339" s="51" t="str">
        <f>+IFERROR(IF(Tabla4[[#This Row],[FECHA]]&gt;$B$1,1,""),"")</f>
        <v/>
      </c>
    </row>
    <row r="2340" spans="3:3" x14ac:dyDescent="0.25">
      <c r="C2340" s="51" t="str">
        <f>+IFERROR(IF(Tabla4[[#This Row],[FECHA]]&gt;$B$1,1,""),"")</f>
        <v/>
      </c>
    </row>
    <row r="2341" spans="3:3" x14ac:dyDescent="0.25">
      <c r="C2341" s="51" t="str">
        <f>+IFERROR(IF(Tabla4[[#This Row],[FECHA]]&gt;$B$1,1,""),"")</f>
        <v/>
      </c>
    </row>
    <row r="2342" spans="3:3" x14ac:dyDescent="0.25">
      <c r="C2342" s="51" t="str">
        <f>+IFERROR(IF(Tabla4[[#This Row],[FECHA]]&gt;$B$1,1,""),"")</f>
        <v/>
      </c>
    </row>
    <row r="2343" spans="3:3" x14ac:dyDescent="0.25">
      <c r="C2343" s="51" t="str">
        <f>+IFERROR(IF(Tabla4[[#This Row],[FECHA]]&gt;$B$1,1,""),"")</f>
        <v/>
      </c>
    </row>
    <row r="2344" spans="3:3" x14ac:dyDescent="0.25">
      <c r="C2344" s="51" t="str">
        <f>+IFERROR(IF(Tabla4[[#This Row],[FECHA]]&gt;$B$1,1,""),"")</f>
        <v/>
      </c>
    </row>
    <row r="2345" spans="3:3" x14ac:dyDescent="0.25">
      <c r="C2345" s="51" t="str">
        <f>+IFERROR(IF(Tabla4[[#This Row],[FECHA]]&gt;$B$1,1,""),"")</f>
        <v/>
      </c>
    </row>
    <row r="2346" spans="3:3" x14ac:dyDescent="0.25">
      <c r="C2346" s="51" t="str">
        <f>+IFERROR(IF(Tabla4[[#This Row],[FECHA]]&gt;$B$1,1,""),"")</f>
        <v/>
      </c>
    </row>
    <row r="2347" spans="3:3" x14ac:dyDescent="0.25">
      <c r="C2347" s="51" t="str">
        <f>+IFERROR(IF(Tabla4[[#This Row],[FECHA]]&gt;$B$1,1,""),"")</f>
        <v/>
      </c>
    </row>
    <row r="2348" spans="3:3" x14ac:dyDescent="0.25">
      <c r="C2348" s="51" t="str">
        <f>+IFERROR(IF(Tabla4[[#This Row],[FECHA]]&gt;$B$1,1,""),"")</f>
        <v/>
      </c>
    </row>
    <row r="2349" spans="3:3" x14ac:dyDescent="0.25">
      <c r="C2349" s="51" t="str">
        <f>+IFERROR(IF(Tabla4[[#This Row],[FECHA]]&gt;$B$1,1,""),"")</f>
        <v/>
      </c>
    </row>
    <row r="2350" spans="3:3" x14ac:dyDescent="0.25">
      <c r="C2350" s="51" t="str">
        <f>+IFERROR(IF(Tabla4[[#This Row],[FECHA]]&gt;$B$1,1,""),"")</f>
        <v/>
      </c>
    </row>
    <row r="2351" spans="3:3" x14ac:dyDescent="0.25">
      <c r="C2351" s="51" t="str">
        <f>+IFERROR(IF(Tabla4[[#This Row],[FECHA]]&gt;$B$1,1,""),"")</f>
        <v/>
      </c>
    </row>
    <row r="2352" spans="3:3" x14ac:dyDescent="0.25">
      <c r="C2352" s="51" t="str">
        <f>+IFERROR(IF(Tabla4[[#This Row],[FECHA]]&gt;$B$1,1,""),"")</f>
        <v/>
      </c>
    </row>
    <row r="2353" spans="3:3" x14ac:dyDescent="0.25">
      <c r="C2353" s="51" t="str">
        <f>+IFERROR(IF(Tabla4[[#This Row],[FECHA]]&gt;$B$1,1,""),"")</f>
        <v/>
      </c>
    </row>
    <row r="2354" spans="3:3" x14ac:dyDescent="0.25">
      <c r="C2354" s="51" t="str">
        <f>+IFERROR(IF(Tabla4[[#This Row],[FECHA]]&gt;$B$1,1,""),"")</f>
        <v/>
      </c>
    </row>
    <row r="2355" spans="3:3" x14ac:dyDescent="0.25">
      <c r="C2355" s="51" t="str">
        <f>+IFERROR(IF(Tabla4[[#This Row],[FECHA]]&gt;$B$1,1,""),"")</f>
        <v/>
      </c>
    </row>
    <row r="2356" spans="3:3" x14ac:dyDescent="0.25">
      <c r="C2356" s="51" t="str">
        <f>+IFERROR(IF(Tabla4[[#This Row],[FECHA]]&gt;$B$1,1,""),"")</f>
        <v/>
      </c>
    </row>
    <row r="2357" spans="3:3" x14ac:dyDescent="0.25">
      <c r="C2357" s="51" t="str">
        <f>+IFERROR(IF(Tabla4[[#This Row],[FECHA]]&gt;$B$1,1,""),"")</f>
        <v/>
      </c>
    </row>
    <row r="2358" spans="3:3" x14ac:dyDescent="0.25">
      <c r="C2358" s="51" t="str">
        <f>+IFERROR(IF(Tabla4[[#This Row],[FECHA]]&gt;$B$1,1,""),"")</f>
        <v/>
      </c>
    </row>
    <row r="2359" spans="3:3" x14ac:dyDescent="0.25">
      <c r="C2359" s="51" t="str">
        <f>+IFERROR(IF(Tabla4[[#This Row],[FECHA]]&gt;$B$1,1,""),"")</f>
        <v/>
      </c>
    </row>
    <row r="2360" spans="3:3" x14ac:dyDescent="0.25">
      <c r="C2360" s="51" t="str">
        <f>+IFERROR(IF(Tabla4[[#This Row],[FECHA]]&gt;$B$1,1,""),"")</f>
        <v/>
      </c>
    </row>
    <row r="2361" spans="3:3" x14ac:dyDescent="0.25">
      <c r="C2361" s="51" t="str">
        <f>+IFERROR(IF(Tabla4[[#This Row],[FECHA]]&gt;$B$1,1,""),"")</f>
        <v/>
      </c>
    </row>
    <row r="2362" spans="3:3" x14ac:dyDescent="0.25">
      <c r="C2362" s="51" t="str">
        <f>+IFERROR(IF(Tabla4[[#This Row],[FECHA]]&gt;$B$1,1,""),"")</f>
        <v/>
      </c>
    </row>
    <row r="2363" spans="3:3" x14ac:dyDescent="0.25">
      <c r="C2363" s="51" t="str">
        <f>+IFERROR(IF(Tabla4[[#This Row],[FECHA]]&gt;$B$1,1,""),"")</f>
        <v/>
      </c>
    </row>
    <row r="2364" spans="3:3" x14ac:dyDescent="0.25">
      <c r="C2364" s="51" t="str">
        <f>+IFERROR(IF(Tabla4[[#This Row],[FECHA]]&gt;$B$1,1,""),"")</f>
        <v/>
      </c>
    </row>
    <row r="2365" spans="3:3" x14ac:dyDescent="0.25">
      <c r="C2365" s="51" t="str">
        <f>+IFERROR(IF(Tabla4[[#This Row],[FECHA]]&gt;$B$1,1,""),"")</f>
        <v/>
      </c>
    </row>
    <row r="2366" spans="3:3" x14ac:dyDescent="0.25">
      <c r="C2366" s="51" t="str">
        <f>+IFERROR(IF(Tabla4[[#This Row],[FECHA]]&gt;$B$1,1,""),"")</f>
        <v/>
      </c>
    </row>
    <row r="2367" spans="3:3" x14ac:dyDescent="0.25">
      <c r="C2367" s="51" t="str">
        <f>+IFERROR(IF(Tabla4[[#This Row],[FECHA]]&gt;$B$1,1,""),"")</f>
        <v/>
      </c>
    </row>
    <row r="2368" spans="3:3" x14ac:dyDescent="0.25">
      <c r="C2368" s="51" t="str">
        <f>+IFERROR(IF(Tabla4[[#This Row],[FECHA]]&gt;$B$1,1,""),"")</f>
        <v/>
      </c>
    </row>
    <row r="2369" spans="3:3" x14ac:dyDescent="0.25">
      <c r="C2369" s="51" t="str">
        <f>+IFERROR(IF(Tabla4[[#This Row],[FECHA]]&gt;$B$1,1,""),"")</f>
        <v/>
      </c>
    </row>
    <row r="2370" spans="3:3" x14ac:dyDescent="0.25">
      <c r="C2370" s="51" t="str">
        <f>+IFERROR(IF(Tabla4[[#This Row],[FECHA]]&gt;$B$1,1,""),"")</f>
        <v/>
      </c>
    </row>
    <row r="2371" spans="3:3" x14ac:dyDescent="0.25">
      <c r="C2371" s="51" t="str">
        <f>+IFERROR(IF(Tabla4[[#This Row],[FECHA]]&gt;$B$1,1,""),"")</f>
        <v/>
      </c>
    </row>
    <row r="2372" spans="3:3" x14ac:dyDescent="0.25">
      <c r="C2372" s="51" t="str">
        <f>+IFERROR(IF(Tabla4[[#This Row],[FECHA]]&gt;$B$1,1,""),"")</f>
        <v/>
      </c>
    </row>
    <row r="2373" spans="3:3" x14ac:dyDescent="0.25">
      <c r="C2373" s="51" t="str">
        <f>+IFERROR(IF(Tabla4[[#This Row],[FECHA]]&gt;$B$1,1,""),"")</f>
        <v/>
      </c>
    </row>
    <row r="2374" spans="3:3" x14ac:dyDescent="0.25">
      <c r="C2374" s="51" t="str">
        <f>+IFERROR(IF(Tabla4[[#This Row],[FECHA]]&gt;$B$1,1,""),"")</f>
        <v/>
      </c>
    </row>
    <row r="2375" spans="3:3" x14ac:dyDescent="0.25">
      <c r="C2375" s="51" t="str">
        <f>+IFERROR(IF(Tabla4[[#This Row],[FECHA]]&gt;$B$1,1,""),"")</f>
        <v/>
      </c>
    </row>
    <row r="2376" spans="3:3" x14ac:dyDescent="0.25">
      <c r="C2376" s="51" t="str">
        <f>+IFERROR(IF(Tabla4[[#This Row],[FECHA]]&gt;$B$1,1,""),"")</f>
        <v/>
      </c>
    </row>
    <row r="2377" spans="3:3" x14ac:dyDescent="0.25">
      <c r="C2377" s="51" t="str">
        <f>+IFERROR(IF(Tabla4[[#This Row],[FECHA]]&gt;$B$1,1,""),"")</f>
        <v/>
      </c>
    </row>
    <row r="2378" spans="3:3" x14ac:dyDescent="0.25">
      <c r="C2378" s="51" t="str">
        <f>+IFERROR(IF(Tabla4[[#This Row],[FECHA]]&gt;$B$1,1,""),"")</f>
        <v/>
      </c>
    </row>
    <row r="2379" spans="3:3" x14ac:dyDescent="0.25">
      <c r="C2379" s="51" t="str">
        <f>+IFERROR(IF(Tabla4[[#This Row],[FECHA]]&gt;$B$1,1,""),"")</f>
        <v/>
      </c>
    </row>
    <row r="2380" spans="3:3" x14ac:dyDescent="0.25">
      <c r="C2380" s="51" t="str">
        <f>+IFERROR(IF(Tabla4[[#This Row],[FECHA]]&gt;$B$1,1,""),"")</f>
        <v/>
      </c>
    </row>
    <row r="2381" spans="3:3" x14ac:dyDescent="0.25">
      <c r="C2381" s="51" t="str">
        <f>+IFERROR(IF(Tabla4[[#This Row],[FECHA]]&gt;$B$1,1,""),"")</f>
        <v/>
      </c>
    </row>
    <row r="2382" spans="3:3" x14ac:dyDescent="0.25">
      <c r="C2382" s="51" t="str">
        <f>+IFERROR(IF(Tabla4[[#This Row],[FECHA]]&gt;$B$1,1,""),"")</f>
        <v/>
      </c>
    </row>
    <row r="2383" spans="3:3" x14ac:dyDescent="0.25">
      <c r="C2383" s="51" t="str">
        <f>+IFERROR(IF(Tabla4[[#This Row],[FECHA]]&gt;$B$1,1,""),"")</f>
        <v/>
      </c>
    </row>
    <row r="2384" spans="3:3" x14ac:dyDescent="0.25">
      <c r="C2384" s="51" t="str">
        <f>+IFERROR(IF(Tabla4[[#This Row],[FECHA]]&gt;$B$1,1,""),"")</f>
        <v/>
      </c>
    </row>
    <row r="2385" spans="3:3" x14ac:dyDescent="0.25">
      <c r="C2385" s="51" t="str">
        <f>+IFERROR(IF(Tabla4[[#This Row],[FECHA]]&gt;$B$1,1,""),"")</f>
        <v/>
      </c>
    </row>
    <row r="2386" spans="3:3" x14ac:dyDescent="0.25">
      <c r="C2386" s="51" t="str">
        <f>+IFERROR(IF(Tabla4[[#This Row],[FECHA]]&gt;$B$1,1,""),"")</f>
        <v/>
      </c>
    </row>
    <row r="2387" spans="3:3" x14ac:dyDescent="0.25">
      <c r="C2387" s="51" t="str">
        <f>+IFERROR(IF(Tabla4[[#This Row],[FECHA]]&gt;$B$1,1,""),"")</f>
        <v/>
      </c>
    </row>
    <row r="2388" spans="3:3" x14ac:dyDescent="0.25">
      <c r="C2388" s="51" t="str">
        <f>+IFERROR(IF(Tabla4[[#This Row],[FECHA]]&gt;$B$1,1,""),"")</f>
        <v/>
      </c>
    </row>
    <row r="2389" spans="3:3" x14ac:dyDescent="0.25">
      <c r="C2389" s="51" t="str">
        <f>+IFERROR(IF(Tabla4[[#This Row],[FECHA]]&gt;$B$1,1,""),"")</f>
        <v/>
      </c>
    </row>
    <row r="2390" spans="3:3" x14ac:dyDescent="0.25">
      <c r="C2390" s="51" t="str">
        <f>+IFERROR(IF(Tabla4[[#This Row],[FECHA]]&gt;$B$1,1,""),"")</f>
        <v/>
      </c>
    </row>
    <row r="2391" spans="3:3" x14ac:dyDescent="0.25">
      <c r="C2391" s="51" t="str">
        <f>+IFERROR(IF(Tabla4[[#This Row],[FECHA]]&gt;$B$1,1,""),"")</f>
        <v/>
      </c>
    </row>
    <row r="2392" spans="3:3" x14ac:dyDescent="0.25">
      <c r="C2392" s="51" t="str">
        <f>+IFERROR(IF(Tabla4[[#This Row],[FECHA]]&gt;$B$1,1,""),"")</f>
        <v/>
      </c>
    </row>
    <row r="2393" spans="3:3" x14ac:dyDescent="0.25">
      <c r="C2393" s="51" t="str">
        <f>+IFERROR(IF(Tabla4[[#This Row],[FECHA]]&gt;$B$1,1,""),"")</f>
        <v/>
      </c>
    </row>
    <row r="2394" spans="3:3" x14ac:dyDescent="0.25">
      <c r="C2394" s="51" t="str">
        <f>+IFERROR(IF(Tabla4[[#This Row],[FECHA]]&gt;$B$1,1,""),"")</f>
        <v/>
      </c>
    </row>
    <row r="2395" spans="3:3" x14ac:dyDescent="0.25">
      <c r="C2395" s="51" t="str">
        <f>+IFERROR(IF(Tabla4[[#This Row],[FECHA]]&gt;$B$1,1,""),"")</f>
        <v/>
      </c>
    </row>
    <row r="2396" spans="3:3" x14ac:dyDescent="0.25">
      <c r="C2396" s="51" t="str">
        <f>+IFERROR(IF(Tabla4[[#This Row],[FECHA]]&gt;$B$1,1,""),"")</f>
        <v/>
      </c>
    </row>
    <row r="2397" spans="3:3" x14ac:dyDescent="0.25">
      <c r="C2397" s="51" t="str">
        <f>+IFERROR(IF(Tabla4[[#This Row],[FECHA]]&gt;$B$1,1,""),"")</f>
        <v/>
      </c>
    </row>
    <row r="2398" spans="3:3" x14ac:dyDescent="0.25">
      <c r="C2398" s="51" t="str">
        <f>+IFERROR(IF(Tabla4[[#This Row],[FECHA]]&gt;$B$1,1,""),"")</f>
        <v/>
      </c>
    </row>
    <row r="2399" spans="3:3" x14ac:dyDescent="0.25">
      <c r="C2399" s="51" t="str">
        <f>+IFERROR(IF(Tabla4[[#This Row],[FECHA]]&gt;$B$1,1,""),"")</f>
        <v/>
      </c>
    </row>
    <row r="2400" spans="3:3" x14ac:dyDescent="0.25">
      <c r="C2400" s="51" t="str">
        <f>+IFERROR(IF(Tabla4[[#This Row],[FECHA]]&gt;$B$1,1,""),"")</f>
        <v/>
      </c>
    </row>
    <row r="2401" spans="3:3" x14ac:dyDescent="0.25">
      <c r="C2401" s="51" t="str">
        <f>+IFERROR(IF(Tabla4[[#This Row],[FECHA]]&gt;$B$1,1,""),"")</f>
        <v/>
      </c>
    </row>
    <row r="2402" spans="3:3" x14ac:dyDescent="0.25">
      <c r="C2402" s="51" t="str">
        <f>+IFERROR(IF(Tabla4[[#This Row],[FECHA]]&gt;$B$1,1,""),"")</f>
        <v/>
      </c>
    </row>
    <row r="2403" spans="3:3" x14ac:dyDescent="0.25">
      <c r="C2403" s="51" t="str">
        <f>+IFERROR(IF(Tabla4[[#This Row],[FECHA]]&gt;$B$1,1,""),"")</f>
        <v/>
      </c>
    </row>
    <row r="2404" spans="3:3" x14ac:dyDescent="0.25">
      <c r="C2404" s="51" t="str">
        <f>+IFERROR(IF(Tabla4[[#This Row],[FECHA]]&gt;$B$1,1,""),"")</f>
        <v/>
      </c>
    </row>
    <row r="2405" spans="3:3" x14ac:dyDescent="0.25">
      <c r="C2405" s="51" t="str">
        <f>+IFERROR(IF(Tabla4[[#This Row],[FECHA]]&gt;$B$1,1,""),"")</f>
        <v/>
      </c>
    </row>
    <row r="2406" spans="3:3" x14ac:dyDescent="0.25">
      <c r="C2406" s="51" t="str">
        <f>+IFERROR(IF(Tabla4[[#This Row],[FECHA]]&gt;$B$1,1,""),"")</f>
        <v/>
      </c>
    </row>
    <row r="2407" spans="3:3" x14ac:dyDescent="0.25">
      <c r="C2407" s="51" t="str">
        <f>+IFERROR(IF(Tabla4[[#This Row],[FECHA]]&gt;$B$1,1,""),"")</f>
        <v/>
      </c>
    </row>
    <row r="2408" spans="3:3" x14ac:dyDescent="0.25">
      <c r="C2408" s="51" t="str">
        <f>+IFERROR(IF(Tabla4[[#This Row],[FECHA]]&gt;$B$1,1,""),"")</f>
        <v/>
      </c>
    </row>
    <row r="2409" spans="3:3" x14ac:dyDescent="0.25">
      <c r="C2409" s="51" t="str">
        <f>+IFERROR(IF(Tabla4[[#This Row],[FECHA]]&gt;$B$1,1,""),"")</f>
        <v/>
      </c>
    </row>
    <row r="2410" spans="3:3" x14ac:dyDescent="0.25">
      <c r="C2410" s="51" t="str">
        <f>+IFERROR(IF(Tabla4[[#This Row],[FECHA]]&gt;$B$1,1,""),"")</f>
        <v/>
      </c>
    </row>
    <row r="2411" spans="3:3" x14ac:dyDescent="0.25">
      <c r="C2411" s="51" t="str">
        <f>+IFERROR(IF(Tabla4[[#This Row],[FECHA]]&gt;$B$1,1,""),"")</f>
        <v/>
      </c>
    </row>
    <row r="2412" spans="3:3" x14ac:dyDescent="0.25">
      <c r="C2412" s="51" t="str">
        <f>+IFERROR(IF(Tabla4[[#This Row],[FECHA]]&gt;$B$1,1,""),"")</f>
        <v/>
      </c>
    </row>
    <row r="2413" spans="3:3" x14ac:dyDescent="0.25">
      <c r="C2413" s="51" t="str">
        <f>+IFERROR(IF(Tabla4[[#This Row],[FECHA]]&gt;$B$1,1,""),"")</f>
        <v/>
      </c>
    </row>
    <row r="2414" spans="3:3" x14ac:dyDescent="0.25">
      <c r="C2414" s="51" t="str">
        <f>+IFERROR(IF(Tabla4[[#This Row],[FECHA]]&gt;$B$1,1,""),"")</f>
        <v/>
      </c>
    </row>
    <row r="2415" spans="3:3" x14ac:dyDescent="0.25">
      <c r="C2415" s="51" t="str">
        <f>+IFERROR(IF(Tabla4[[#This Row],[FECHA]]&gt;$B$1,1,""),"")</f>
        <v/>
      </c>
    </row>
    <row r="2416" spans="3:3" x14ac:dyDescent="0.25">
      <c r="C2416" s="51" t="str">
        <f>+IFERROR(IF(Tabla4[[#This Row],[FECHA]]&gt;$B$1,1,""),"")</f>
        <v/>
      </c>
    </row>
    <row r="2417" spans="3:3" x14ac:dyDescent="0.25">
      <c r="C2417" s="51" t="str">
        <f>+IFERROR(IF(Tabla4[[#This Row],[FECHA]]&gt;$B$1,1,""),"")</f>
        <v/>
      </c>
    </row>
    <row r="2418" spans="3:3" x14ac:dyDescent="0.25">
      <c r="C2418" s="51" t="str">
        <f>+IFERROR(IF(Tabla4[[#This Row],[FECHA]]&gt;$B$1,1,""),"")</f>
        <v/>
      </c>
    </row>
    <row r="2419" spans="3:3" x14ac:dyDescent="0.25">
      <c r="C2419" s="51" t="str">
        <f>+IFERROR(IF(Tabla4[[#This Row],[FECHA]]&gt;$B$1,1,""),"")</f>
        <v/>
      </c>
    </row>
    <row r="2420" spans="3:3" x14ac:dyDescent="0.25">
      <c r="C2420" s="51" t="str">
        <f>+IFERROR(IF(Tabla4[[#This Row],[FECHA]]&gt;$B$1,1,""),"")</f>
        <v/>
      </c>
    </row>
    <row r="2421" spans="3:3" x14ac:dyDescent="0.25">
      <c r="C2421" s="51" t="str">
        <f>+IFERROR(IF(Tabla4[[#This Row],[FECHA]]&gt;$B$1,1,""),"")</f>
        <v/>
      </c>
    </row>
    <row r="2422" spans="3:3" x14ac:dyDescent="0.25">
      <c r="C2422" s="51" t="str">
        <f>+IFERROR(IF(Tabla4[[#This Row],[FECHA]]&gt;$B$1,1,""),"")</f>
        <v/>
      </c>
    </row>
    <row r="2423" spans="3:3" x14ac:dyDescent="0.25">
      <c r="C2423" s="51" t="str">
        <f>+IFERROR(IF(Tabla4[[#This Row],[FECHA]]&gt;$B$1,1,""),"")</f>
        <v/>
      </c>
    </row>
    <row r="2424" spans="3:3" x14ac:dyDescent="0.25">
      <c r="C2424" s="51" t="str">
        <f>+IFERROR(IF(Tabla4[[#This Row],[FECHA]]&gt;$B$1,1,""),"")</f>
        <v/>
      </c>
    </row>
    <row r="2425" spans="3:3" x14ac:dyDescent="0.25">
      <c r="C2425" s="51" t="str">
        <f>+IFERROR(IF(Tabla4[[#This Row],[FECHA]]&gt;$B$1,1,""),"")</f>
        <v/>
      </c>
    </row>
    <row r="2426" spans="3:3" x14ac:dyDescent="0.25">
      <c r="C2426" s="51" t="str">
        <f>+IFERROR(IF(Tabla4[[#This Row],[FECHA]]&gt;$B$1,1,""),"")</f>
        <v/>
      </c>
    </row>
    <row r="2427" spans="3:3" x14ac:dyDescent="0.25">
      <c r="C2427" s="51" t="str">
        <f>+IFERROR(IF(Tabla4[[#This Row],[FECHA]]&gt;$B$1,1,""),"")</f>
        <v/>
      </c>
    </row>
    <row r="2428" spans="3:3" x14ac:dyDescent="0.25">
      <c r="C2428" s="51" t="str">
        <f>+IFERROR(IF(Tabla4[[#This Row],[FECHA]]&gt;$B$1,1,""),"")</f>
        <v/>
      </c>
    </row>
    <row r="2429" spans="3:3" x14ac:dyDescent="0.25">
      <c r="C2429" s="51" t="str">
        <f>+IFERROR(IF(Tabla4[[#This Row],[FECHA]]&gt;$B$1,1,""),"")</f>
        <v/>
      </c>
    </row>
    <row r="2430" spans="3:3" x14ac:dyDescent="0.25">
      <c r="C2430" s="51" t="str">
        <f>+IFERROR(IF(Tabla4[[#This Row],[FECHA]]&gt;$B$1,1,""),"")</f>
        <v/>
      </c>
    </row>
    <row r="2431" spans="3:3" x14ac:dyDescent="0.25">
      <c r="C2431" s="51" t="str">
        <f>+IFERROR(IF(Tabla4[[#This Row],[FECHA]]&gt;$B$1,1,""),"")</f>
        <v/>
      </c>
    </row>
    <row r="2432" spans="3:3" x14ac:dyDescent="0.25">
      <c r="C2432" s="51" t="str">
        <f>+IFERROR(IF(Tabla4[[#This Row],[FECHA]]&gt;$B$1,1,""),"")</f>
        <v/>
      </c>
    </row>
    <row r="2433" spans="3:3" x14ac:dyDescent="0.25">
      <c r="C2433" s="51" t="str">
        <f>+IFERROR(IF(Tabla4[[#This Row],[FECHA]]&gt;$B$1,1,""),"")</f>
        <v/>
      </c>
    </row>
    <row r="2434" spans="3:3" x14ac:dyDescent="0.25">
      <c r="C2434" s="51" t="str">
        <f>+IFERROR(IF(Tabla4[[#This Row],[FECHA]]&gt;$B$1,1,""),"")</f>
        <v/>
      </c>
    </row>
    <row r="2435" spans="3:3" x14ac:dyDescent="0.25">
      <c r="C2435" s="51" t="str">
        <f>+IFERROR(IF(Tabla4[[#This Row],[FECHA]]&gt;$B$1,1,""),"")</f>
        <v/>
      </c>
    </row>
    <row r="2436" spans="3:3" x14ac:dyDescent="0.25">
      <c r="C2436" s="51" t="str">
        <f>+IFERROR(IF(Tabla4[[#This Row],[FECHA]]&gt;$B$1,1,""),"")</f>
        <v/>
      </c>
    </row>
    <row r="2437" spans="3:3" x14ac:dyDescent="0.25">
      <c r="C2437" s="51" t="str">
        <f>+IFERROR(IF(Tabla4[[#This Row],[FECHA]]&gt;$B$1,1,""),"")</f>
        <v/>
      </c>
    </row>
    <row r="2438" spans="3:3" x14ac:dyDescent="0.25">
      <c r="C2438" s="51" t="str">
        <f>+IFERROR(IF(Tabla4[[#This Row],[FECHA]]&gt;$B$1,1,""),"")</f>
        <v/>
      </c>
    </row>
    <row r="2439" spans="3:3" x14ac:dyDescent="0.25">
      <c r="C2439" s="51" t="str">
        <f>+IFERROR(IF(Tabla4[[#This Row],[FECHA]]&gt;$B$1,1,""),"")</f>
        <v/>
      </c>
    </row>
    <row r="2440" spans="3:3" x14ac:dyDescent="0.25">
      <c r="C2440" s="51" t="str">
        <f>+IFERROR(IF(Tabla4[[#This Row],[FECHA]]&gt;$B$1,1,""),"")</f>
        <v/>
      </c>
    </row>
    <row r="2441" spans="3:3" x14ac:dyDescent="0.25">
      <c r="C2441" s="51" t="str">
        <f>+IFERROR(IF(Tabla4[[#This Row],[FECHA]]&gt;$B$1,1,""),"")</f>
        <v/>
      </c>
    </row>
    <row r="2442" spans="3:3" x14ac:dyDescent="0.25">
      <c r="C2442" s="51" t="str">
        <f>+IFERROR(IF(Tabla4[[#This Row],[FECHA]]&gt;$B$1,1,""),"")</f>
        <v/>
      </c>
    </row>
    <row r="2443" spans="3:3" x14ac:dyDescent="0.25">
      <c r="C2443" s="51" t="str">
        <f>+IFERROR(IF(Tabla4[[#This Row],[FECHA]]&gt;$B$1,1,""),"")</f>
        <v/>
      </c>
    </row>
    <row r="2444" spans="3:3" x14ac:dyDescent="0.25">
      <c r="C2444" s="51" t="str">
        <f>+IFERROR(IF(Tabla4[[#This Row],[FECHA]]&gt;$B$1,1,""),"")</f>
        <v/>
      </c>
    </row>
    <row r="2445" spans="3:3" x14ac:dyDescent="0.25">
      <c r="C2445" s="51" t="str">
        <f>+IFERROR(IF(Tabla4[[#This Row],[FECHA]]&gt;$B$1,1,""),"")</f>
        <v/>
      </c>
    </row>
    <row r="2446" spans="3:3" x14ac:dyDescent="0.25">
      <c r="C2446" s="51" t="str">
        <f>+IFERROR(IF(Tabla4[[#This Row],[FECHA]]&gt;$B$1,1,""),"")</f>
        <v/>
      </c>
    </row>
    <row r="2447" spans="3:3" x14ac:dyDescent="0.25">
      <c r="C2447" s="51" t="str">
        <f>+IFERROR(IF(Tabla4[[#This Row],[FECHA]]&gt;$B$1,1,""),"")</f>
        <v/>
      </c>
    </row>
    <row r="2448" spans="3:3" x14ac:dyDescent="0.25">
      <c r="C2448" s="51" t="str">
        <f>+IFERROR(IF(Tabla4[[#This Row],[FECHA]]&gt;$B$1,1,""),"")</f>
        <v/>
      </c>
    </row>
    <row r="2449" spans="3:3" x14ac:dyDescent="0.25">
      <c r="C2449" s="51" t="str">
        <f>+IFERROR(IF(Tabla4[[#This Row],[FECHA]]&gt;$B$1,1,""),"")</f>
        <v/>
      </c>
    </row>
    <row r="2450" spans="3:3" x14ac:dyDescent="0.25">
      <c r="C2450" s="51" t="str">
        <f>+IFERROR(IF(Tabla4[[#This Row],[FECHA]]&gt;$B$1,1,""),"")</f>
        <v/>
      </c>
    </row>
    <row r="2451" spans="3:3" x14ac:dyDescent="0.25">
      <c r="C2451" s="51" t="str">
        <f>+IFERROR(IF(Tabla4[[#This Row],[FECHA]]&gt;$B$1,1,""),"")</f>
        <v/>
      </c>
    </row>
    <row r="2452" spans="3:3" x14ac:dyDescent="0.25">
      <c r="C2452" s="51" t="str">
        <f>+IFERROR(IF(Tabla4[[#This Row],[FECHA]]&gt;$B$1,1,""),"")</f>
        <v/>
      </c>
    </row>
    <row r="2453" spans="3:3" x14ac:dyDescent="0.25">
      <c r="C2453" s="51" t="str">
        <f>+IFERROR(IF(Tabla4[[#This Row],[FECHA]]&gt;$B$1,1,""),"")</f>
        <v/>
      </c>
    </row>
    <row r="2454" spans="3:3" x14ac:dyDescent="0.25">
      <c r="C2454" s="51" t="str">
        <f>+IFERROR(IF(Tabla4[[#This Row],[FECHA]]&gt;$B$1,1,""),"")</f>
        <v/>
      </c>
    </row>
    <row r="2455" spans="3:3" x14ac:dyDescent="0.25">
      <c r="C2455" s="51" t="str">
        <f>+IFERROR(IF(Tabla4[[#This Row],[FECHA]]&gt;$B$1,1,""),"")</f>
        <v/>
      </c>
    </row>
    <row r="2456" spans="3:3" x14ac:dyDescent="0.25">
      <c r="C2456" s="51" t="str">
        <f>+IFERROR(IF(Tabla4[[#This Row],[FECHA]]&gt;$B$1,1,""),"")</f>
        <v/>
      </c>
    </row>
    <row r="2457" spans="3:3" x14ac:dyDescent="0.25">
      <c r="C2457" s="51" t="str">
        <f>+IFERROR(IF(Tabla4[[#This Row],[FECHA]]&gt;$B$1,1,""),"")</f>
        <v/>
      </c>
    </row>
    <row r="2458" spans="3:3" x14ac:dyDescent="0.25">
      <c r="C2458" s="51" t="str">
        <f>+IFERROR(IF(Tabla4[[#This Row],[FECHA]]&gt;$B$1,1,""),"")</f>
        <v/>
      </c>
    </row>
    <row r="2459" spans="3:3" x14ac:dyDescent="0.25">
      <c r="C2459" s="51" t="str">
        <f>+IFERROR(IF(Tabla4[[#This Row],[FECHA]]&gt;$B$1,1,""),"")</f>
        <v/>
      </c>
    </row>
    <row r="2460" spans="3:3" x14ac:dyDescent="0.25">
      <c r="C2460" s="51" t="str">
        <f>+IFERROR(IF(Tabla4[[#This Row],[FECHA]]&gt;$B$1,1,""),"")</f>
        <v/>
      </c>
    </row>
    <row r="2461" spans="3:3" x14ac:dyDescent="0.25">
      <c r="C2461" s="51" t="str">
        <f>+IFERROR(IF(Tabla4[[#This Row],[FECHA]]&gt;$B$1,1,""),"")</f>
        <v/>
      </c>
    </row>
    <row r="2462" spans="3:3" x14ac:dyDescent="0.25">
      <c r="C2462" s="51" t="str">
        <f>+IFERROR(IF(Tabla4[[#This Row],[FECHA]]&gt;$B$1,1,""),"")</f>
        <v/>
      </c>
    </row>
    <row r="2463" spans="3:3" x14ac:dyDescent="0.25">
      <c r="C2463" s="51" t="str">
        <f>+IFERROR(IF(Tabla4[[#This Row],[FECHA]]&gt;$B$1,1,""),"")</f>
        <v/>
      </c>
    </row>
    <row r="2464" spans="3:3" x14ac:dyDescent="0.25">
      <c r="C2464" s="51" t="str">
        <f>+IFERROR(IF(Tabla4[[#This Row],[FECHA]]&gt;$B$1,1,""),"")</f>
        <v/>
      </c>
    </row>
    <row r="2465" spans="3:3" x14ac:dyDescent="0.25">
      <c r="C2465" s="51" t="str">
        <f>+IFERROR(IF(Tabla4[[#This Row],[FECHA]]&gt;$B$1,1,""),"")</f>
        <v/>
      </c>
    </row>
    <row r="2466" spans="3:3" x14ac:dyDescent="0.25">
      <c r="C2466" s="51" t="str">
        <f>+IFERROR(IF(Tabla4[[#This Row],[FECHA]]&gt;$B$1,1,""),"")</f>
        <v/>
      </c>
    </row>
    <row r="2467" spans="3:3" x14ac:dyDescent="0.25">
      <c r="C2467" s="51" t="str">
        <f>+IFERROR(IF(Tabla4[[#This Row],[FECHA]]&gt;$B$1,1,""),"")</f>
        <v/>
      </c>
    </row>
    <row r="2468" spans="3:3" x14ac:dyDescent="0.25">
      <c r="C2468" s="51" t="str">
        <f>+IFERROR(IF(Tabla4[[#This Row],[FECHA]]&gt;$B$1,1,""),"")</f>
        <v/>
      </c>
    </row>
    <row r="2469" spans="3:3" x14ac:dyDescent="0.25">
      <c r="C2469" s="51" t="str">
        <f>+IFERROR(IF(Tabla4[[#This Row],[FECHA]]&gt;$B$1,1,""),"")</f>
        <v/>
      </c>
    </row>
    <row r="2470" spans="3:3" x14ac:dyDescent="0.25">
      <c r="C2470" s="51" t="str">
        <f>+IFERROR(IF(Tabla4[[#This Row],[FECHA]]&gt;$B$1,1,""),"")</f>
        <v/>
      </c>
    </row>
    <row r="2471" spans="3:3" x14ac:dyDescent="0.25">
      <c r="C2471" s="51" t="str">
        <f>+IFERROR(IF(Tabla4[[#This Row],[FECHA]]&gt;$B$1,1,""),"")</f>
        <v/>
      </c>
    </row>
    <row r="2472" spans="3:3" x14ac:dyDescent="0.25">
      <c r="C2472" s="51" t="str">
        <f>+IFERROR(IF(Tabla4[[#This Row],[FECHA]]&gt;$B$1,1,""),"")</f>
        <v/>
      </c>
    </row>
    <row r="2473" spans="3:3" x14ac:dyDescent="0.25">
      <c r="C2473" s="51" t="str">
        <f>+IFERROR(IF(Tabla4[[#This Row],[FECHA]]&gt;$B$1,1,""),"")</f>
        <v/>
      </c>
    </row>
    <row r="2474" spans="3:3" x14ac:dyDescent="0.25">
      <c r="C2474" s="51" t="str">
        <f>+IFERROR(IF(Tabla4[[#This Row],[FECHA]]&gt;$B$1,1,""),"")</f>
        <v/>
      </c>
    </row>
    <row r="2475" spans="3:3" x14ac:dyDescent="0.25">
      <c r="C2475" s="51" t="str">
        <f>+IFERROR(IF(Tabla4[[#This Row],[FECHA]]&gt;$B$1,1,""),"")</f>
        <v/>
      </c>
    </row>
    <row r="2476" spans="3:3" x14ac:dyDescent="0.25">
      <c r="C2476" s="51" t="str">
        <f>+IFERROR(IF(Tabla4[[#This Row],[FECHA]]&gt;$B$1,1,""),"")</f>
        <v/>
      </c>
    </row>
    <row r="2477" spans="3:3" x14ac:dyDescent="0.25">
      <c r="C2477" s="51" t="str">
        <f>+IFERROR(IF(Tabla4[[#This Row],[FECHA]]&gt;$B$1,1,""),"")</f>
        <v/>
      </c>
    </row>
    <row r="2478" spans="3:3" x14ac:dyDescent="0.25">
      <c r="C2478" s="51" t="str">
        <f>+IFERROR(IF(Tabla4[[#This Row],[FECHA]]&gt;$B$1,1,""),"")</f>
        <v/>
      </c>
    </row>
    <row r="2479" spans="3:3" x14ac:dyDescent="0.25">
      <c r="C2479" s="51" t="str">
        <f>+IFERROR(IF(Tabla4[[#This Row],[FECHA]]&gt;$B$1,1,""),"")</f>
        <v/>
      </c>
    </row>
    <row r="2480" spans="3:3" x14ac:dyDescent="0.25">
      <c r="C2480" s="51" t="str">
        <f>+IFERROR(IF(Tabla4[[#This Row],[FECHA]]&gt;$B$1,1,""),"")</f>
        <v/>
      </c>
    </row>
    <row r="2481" spans="3:3" x14ac:dyDescent="0.25">
      <c r="C2481" s="51" t="str">
        <f>+IFERROR(IF(Tabla4[[#This Row],[FECHA]]&gt;$B$1,1,""),"")</f>
        <v/>
      </c>
    </row>
    <row r="2482" spans="3:3" x14ac:dyDescent="0.25">
      <c r="C2482" s="51" t="str">
        <f>+IFERROR(IF(Tabla4[[#This Row],[FECHA]]&gt;$B$1,1,""),"")</f>
        <v/>
      </c>
    </row>
    <row r="2483" spans="3:3" x14ac:dyDescent="0.25">
      <c r="C2483" s="51" t="str">
        <f>+IFERROR(IF(Tabla4[[#This Row],[FECHA]]&gt;$B$1,1,""),"")</f>
        <v/>
      </c>
    </row>
    <row r="2484" spans="3:3" x14ac:dyDescent="0.25">
      <c r="C2484" s="51" t="str">
        <f>+IFERROR(IF(Tabla4[[#This Row],[FECHA]]&gt;$B$1,1,""),"")</f>
        <v/>
      </c>
    </row>
    <row r="2485" spans="3:3" x14ac:dyDescent="0.25">
      <c r="C2485" s="51" t="str">
        <f>+IFERROR(IF(Tabla4[[#This Row],[FECHA]]&gt;$B$1,1,""),"")</f>
        <v/>
      </c>
    </row>
    <row r="2486" spans="3:3" x14ac:dyDescent="0.25">
      <c r="C2486" s="51" t="str">
        <f>+IFERROR(IF(Tabla4[[#This Row],[FECHA]]&gt;$B$1,1,""),"")</f>
        <v/>
      </c>
    </row>
    <row r="2487" spans="3:3" x14ac:dyDescent="0.25">
      <c r="C2487" s="51" t="str">
        <f>+IFERROR(IF(Tabla4[[#This Row],[FECHA]]&gt;$B$1,1,""),"")</f>
        <v/>
      </c>
    </row>
    <row r="2488" spans="3:3" x14ac:dyDescent="0.25">
      <c r="C2488" s="51" t="str">
        <f>+IFERROR(IF(Tabla4[[#This Row],[FECHA]]&gt;$B$1,1,""),"")</f>
        <v/>
      </c>
    </row>
    <row r="2489" spans="3:3" x14ac:dyDescent="0.25">
      <c r="C2489" s="51" t="str">
        <f>+IFERROR(IF(Tabla4[[#This Row],[FECHA]]&gt;$B$1,1,""),"")</f>
        <v/>
      </c>
    </row>
    <row r="2490" spans="3:3" x14ac:dyDescent="0.25">
      <c r="C2490" s="51" t="str">
        <f>+IFERROR(IF(Tabla4[[#This Row],[FECHA]]&gt;$B$1,1,""),"")</f>
        <v/>
      </c>
    </row>
    <row r="2491" spans="3:3" x14ac:dyDescent="0.25">
      <c r="C2491" s="51" t="str">
        <f>+IFERROR(IF(Tabla4[[#This Row],[FECHA]]&gt;$B$1,1,""),"")</f>
        <v/>
      </c>
    </row>
    <row r="2492" spans="3:3" x14ac:dyDescent="0.25">
      <c r="C2492" s="51" t="str">
        <f>+IFERROR(IF(Tabla4[[#This Row],[FECHA]]&gt;$B$1,1,""),"")</f>
        <v/>
      </c>
    </row>
    <row r="2493" spans="3:3" x14ac:dyDescent="0.25">
      <c r="C2493" s="51" t="str">
        <f>+IFERROR(IF(Tabla4[[#This Row],[FECHA]]&gt;$B$1,1,""),"")</f>
        <v/>
      </c>
    </row>
    <row r="2494" spans="3:3" x14ac:dyDescent="0.25">
      <c r="C2494" s="51" t="str">
        <f>+IFERROR(IF(Tabla4[[#This Row],[FECHA]]&gt;$B$1,1,""),"")</f>
        <v/>
      </c>
    </row>
    <row r="2495" spans="3:3" x14ac:dyDescent="0.25">
      <c r="C2495" s="51" t="str">
        <f>+IFERROR(IF(Tabla4[[#This Row],[FECHA]]&gt;$B$1,1,""),"")</f>
        <v/>
      </c>
    </row>
    <row r="2496" spans="3:3" x14ac:dyDescent="0.25">
      <c r="C2496" s="51" t="str">
        <f>+IFERROR(IF(Tabla4[[#This Row],[FECHA]]&gt;$B$1,1,""),"")</f>
        <v/>
      </c>
    </row>
    <row r="2497" spans="3:3" x14ac:dyDescent="0.25">
      <c r="C2497" s="51" t="str">
        <f>+IFERROR(IF(Tabla4[[#This Row],[FECHA]]&gt;$B$1,1,""),"")</f>
        <v/>
      </c>
    </row>
    <row r="2498" spans="3:3" x14ac:dyDescent="0.25">
      <c r="C2498" s="51" t="str">
        <f>+IFERROR(IF(Tabla4[[#This Row],[FECHA]]&gt;$B$1,1,""),"")</f>
        <v/>
      </c>
    </row>
    <row r="2499" spans="3:3" x14ac:dyDescent="0.25">
      <c r="C2499" s="51" t="str">
        <f>+IFERROR(IF(Tabla4[[#This Row],[FECHA]]&gt;$B$1,1,""),"")</f>
        <v/>
      </c>
    </row>
    <row r="2500" spans="3:3" x14ac:dyDescent="0.25">
      <c r="C2500" s="51" t="str">
        <f>+IFERROR(IF(Tabla4[[#This Row],[FECHA]]&gt;$B$1,1,""),"")</f>
        <v/>
      </c>
    </row>
    <row r="2501" spans="3:3" x14ac:dyDescent="0.25">
      <c r="C2501" s="51" t="str">
        <f>+IFERROR(IF(Tabla4[[#This Row],[FECHA]]&gt;$B$1,1,""),"")</f>
        <v/>
      </c>
    </row>
    <row r="2502" spans="3:3" x14ac:dyDescent="0.25">
      <c r="C2502" s="51" t="str">
        <f>+IFERROR(IF(Tabla4[[#This Row],[FECHA]]&gt;$B$1,1,""),"")</f>
        <v/>
      </c>
    </row>
    <row r="2503" spans="3:3" x14ac:dyDescent="0.25">
      <c r="C2503" s="51" t="str">
        <f>+IFERROR(IF(Tabla4[[#This Row],[FECHA]]&gt;$B$1,1,""),"")</f>
        <v/>
      </c>
    </row>
    <row r="2504" spans="3:3" x14ac:dyDescent="0.25">
      <c r="C2504" s="51" t="str">
        <f>+IFERROR(IF(Tabla4[[#This Row],[FECHA]]&gt;$B$1,1,""),"")</f>
        <v/>
      </c>
    </row>
    <row r="2505" spans="3:3" x14ac:dyDescent="0.25">
      <c r="C2505" s="51" t="str">
        <f>+IFERROR(IF(Tabla4[[#This Row],[FECHA]]&gt;$B$1,1,""),"")</f>
        <v/>
      </c>
    </row>
    <row r="2506" spans="3:3" x14ac:dyDescent="0.25">
      <c r="C2506" s="51" t="str">
        <f>+IFERROR(IF(Tabla4[[#This Row],[FECHA]]&gt;$B$1,1,""),"")</f>
        <v/>
      </c>
    </row>
    <row r="2507" spans="3:3" x14ac:dyDescent="0.25">
      <c r="C2507" s="51" t="str">
        <f>+IFERROR(IF(Tabla4[[#This Row],[FECHA]]&gt;$B$1,1,""),"")</f>
        <v/>
      </c>
    </row>
    <row r="2508" spans="3:3" x14ac:dyDescent="0.25">
      <c r="C2508" s="51" t="str">
        <f>+IFERROR(IF(Tabla4[[#This Row],[FECHA]]&gt;$B$1,1,""),"")</f>
        <v/>
      </c>
    </row>
    <row r="2509" spans="3:3" x14ac:dyDescent="0.25">
      <c r="C2509" s="51" t="str">
        <f>+IFERROR(IF(Tabla4[[#This Row],[FECHA]]&gt;$B$1,1,""),"")</f>
        <v/>
      </c>
    </row>
    <row r="2510" spans="3:3" x14ac:dyDescent="0.25">
      <c r="C2510" s="51" t="str">
        <f>+IFERROR(IF(Tabla4[[#This Row],[FECHA]]&gt;$B$1,1,""),"")</f>
        <v/>
      </c>
    </row>
    <row r="2511" spans="3:3" x14ac:dyDescent="0.25">
      <c r="C2511" s="51" t="str">
        <f>+IFERROR(IF(Tabla4[[#This Row],[FECHA]]&gt;$B$1,1,""),"")</f>
        <v/>
      </c>
    </row>
    <row r="2512" spans="3:3" x14ac:dyDescent="0.25">
      <c r="C2512" s="51" t="str">
        <f>+IFERROR(IF(Tabla4[[#This Row],[FECHA]]&gt;$B$1,1,""),"")</f>
        <v/>
      </c>
    </row>
    <row r="2513" spans="3:3" x14ac:dyDescent="0.25">
      <c r="C2513" s="51" t="str">
        <f>+IFERROR(IF(Tabla4[[#This Row],[FECHA]]&gt;$B$1,1,""),"")</f>
        <v/>
      </c>
    </row>
    <row r="2514" spans="3:3" x14ac:dyDescent="0.25">
      <c r="C2514" s="51" t="str">
        <f>+IFERROR(IF(Tabla4[[#This Row],[FECHA]]&gt;$B$1,1,""),"")</f>
        <v/>
      </c>
    </row>
    <row r="2515" spans="3:3" x14ac:dyDescent="0.25">
      <c r="C2515" s="51" t="str">
        <f>+IFERROR(IF(Tabla4[[#This Row],[FECHA]]&gt;$B$1,1,""),"")</f>
        <v/>
      </c>
    </row>
    <row r="2516" spans="3:3" x14ac:dyDescent="0.25">
      <c r="C2516" s="51" t="str">
        <f>+IFERROR(IF(Tabla4[[#This Row],[FECHA]]&gt;$B$1,1,""),"")</f>
        <v/>
      </c>
    </row>
    <row r="2517" spans="3:3" x14ac:dyDescent="0.25">
      <c r="C2517" s="51" t="str">
        <f>+IFERROR(IF(Tabla4[[#This Row],[FECHA]]&gt;$B$1,1,""),"")</f>
        <v/>
      </c>
    </row>
    <row r="2518" spans="3:3" x14ac:dyDescent="0.25">
      <c r="C2518" s="51" t="str">
        <f>+IFERROR(IF(Tabla4[[#This Row],[FECHA]]&gt;$B$1,1,""),"")</f>
        <v/>
      </c>
    </row>
    <row r="2519" spans="3:3" x14ac:dyDescent="0.25">
      <c r="C2519" s="51" t="str">
        <f>+IFERROR(IF(Tabla4[[#This Row],[FECHA]]&gt;$B$1,1,""),"")</f>
        <v/>
      </c>
    </row>
    <row r="2520" spans="3:3" x14ac:dyDescent="0.25">
      <c r="C2520" s="51" t="str">
        <f>+IFERROR(IF(Tabla4[[#This Row],[FECHA]]&gt;$B$1,1,""),"")</f>
        <v/>
      </c>
    </row>
    <row r="2521" spans="3:3" x14ac:dyDescent="0.25">
      <c r="C2521" s="51" t="str">
        <f>+IFERROR(IF(Tabla4[[#This Row],[FECHA]]&gt;$B$1,1,""),"")</f>
        <v/>
      </c>
    </row>
    <row r="2522" spans="3:3" x14ac:dyDescent="0.25">
      <c r="C2522" s="51" t="str">
        <f>+IFERROR(IF(Tabla4[[#This Row],[FECHA]]&gt;$B$1,1,""),"")</f>
        <v/>
      </c>
    </row>
    <row r="2523" spans="3:3" x14ac:dyDescent="0.25">
      <c r="C2523" s="51" t="str">
        <f>+IFERROR(IF(Tabla4[[#This Row],[FECHA]]&gt;$B$1,1,""),"")</f>
        <v/>
      </c>
    </row>
    <row r="2524" spans="3:3" x14ac:dyDescent="0.25">
      <c r="C2524" s="51" t="str">
        <f>+IFERROR(IF(Tabla4[[#This Row],[FECHA]]&gt;$B$1,1,""),"")</f>
        <v/>
      </c>
    </row>
    <row r="2525" spans="3:3" x14ac:dyDescent="0.25">
      <c r="C2525" s="51" t="str">
        <f>+IFERROR(IF(Tabla4[[#This Row],[FECHA]]&gt;$B$1,1,""),"")</f>
        <v/>
      </c>
    </row>
    <row r="2526" spans="3:3" x14ac:dyDescent="0.25">
      <c r="C2526" s="51" t="str">
        <f>+IFERROR(IF(Tabla4[[#This Row],[FECHA]]&gt;$B$1,1,""),"")</f>
        <v/>
      </c>
    </row>
    <row r="2527" spans="3:3" x14ac:dyDescent="0.25">
      <c r="C2527" s="51" t="str">
        <f>+IFERROR(IF(Tabla4[[#This Row],[FECHA]]&gt;$B$1,1,""),"")</f>
        <v/>
      </c>
    </row>
    <row r="2528" spans="3:3" x14ac:dyDescent="0.25">
      <c r="C2528" s="51" t="str">
        <f>+IFERROR(IF(Tabla4[[#This Row],[FECHA]]&gt;$B$1,1,""),"")</f>
        <v/>
      </c>
    </row>
    <row r="2529" spans="3:3" x14ac:dyDescent="0.25">
      <c r="C2529" s="51" t="str">
        <f>+IFERROR(IF(Tabla4[[#This Row],[FECHA]]&gt;$B$1,1,""),"")</f>
        <v/>
      </c>
    </row>
    <row r="2530" spans="3:3" x14ac:dyDescent="0.25">
      <c r="C2530" s="51" t="str">
        <f>+IFERROR(IF(Tabla4[[#This Row],[FECHA]]&gt;$B$1,1,""),"")</f>
        <v/>
      </c>
    </row>
    <row r="2531" spans="3:3" x14ac:dyDescent="0.25">
      <c r="C2531" s="51" t="str">
        <f>+IFERROR(IF(Tabla4[[#This Row],[FECHA]]&gt;$B$1,1,""),"")</f>
        <v/>
      </c>
    </row>
    <row r="2532" spans="3:3" x14ac:dyDescent="0.25">
      <c r="C2532" s="51" t="str">
        <f>+IFERROR(IF(Tabla4[[#This Row],[FECHA]]&gt;$B$1,1,""),"")</f>
        <v/>
      </c>
    </row>
    <row r="2533" spans="3:3" x14ac:dyDescent="0.25">
      <c r="C2533" s="51" t="str">
        <f>+IFERROR(IF(Tabla4[[#This Row],[FECHA]]&gt;$B$1,1,""),"")</f>
        <v/>
      </c>
    </row>
    <row r="2534" spans="3:3" x14ac:dyDescent="0.25">
      <c r="C2534" s="51" t="str">
        <f>+IFERROR(IF(Tabla4[[#This Row],[FECHA]]&gt;$B$1,1,""),"")</f>
        <v/>
      </c>
    </row>
    <row r="2535" spans="3:3" x14ac:dyDescent="0.25">
      <c r="C2535" s="51" t="str">
        <f>+IFERROR(IF(Tabla4[[#This Row],[FECHA]]&gt;$B$1,1,""),"")</f>
        <v/>
      </c>
    </row>
    <row r="2536" spans="3:3" x14ac:dyDescent="0.25">
      <c r="C2536" s="51" t="str">
        <f>+IFERROR(IF(Tabla4[[#This Row],[FECHA]]&gt;$B$1,1,""),"")</f>
        <v/>
      </c>
    </row>
    <row r="2537" spans="3:3" x14ac:dyDescent="0.25">
      <c r="C2537" s="51" t="str">
        <f>+IFERROR(IF(Tabla4[[#This Row],[FECHA]]&gt;$B$1,1,""),"")</f>
        <v/>
      </c>
    </row>
    <row r="2538" spans="3:3" x14ac:dyDescent="0.25">
      <c r="C2538" s="51" t="str">
        <f>+IFERROR(IF(Tabla4[[#This Row],[FECHA]]&gt;$B$1,1,""),"")</f>
        <v/>
      </c>
    </row>
    <row r="2539" spans="3:3" x14ac:dyDescent="0.25">
      <c r="C2539" s="51" t="str">
        <f>+IFERROR(IF(Tabla4[[#This Row],[FECHA]]&gt;$B$1,1,""),"")</f>
        <v/>
      </c>
    </row>
    <row r="2540" spans="3:3" x14ac:dyDescent="0.25">
      <c r="C2540" s="51" t="str">
        <f>+IFERROR(IF(Tabla4[[#This Row],[FECHA]]&gt;$B$1,1,""),"")</f>
        <v/>
      </c>
    </row>
    <row r="2541" spans="3:3" x14ac:dyDescent="0.25">
      <c r="C2541" s="51" t="str">
        <f>+IFERROR(IF(Tabla4[[#This Row],[FECHA]]&gt;$B$1,1,""),"")</f>
        <v/>
      </c>
    </row>
    <row r="2542" spans="3:3" x14ac:dyDescent="0.25">
      <c r="C2542" s="51" t="str">
        <f>+IFERROR(IF(Tabla4[[#This Row],[FECHA]]&gt;$B$1,1,""),"")</f>
        <v/>
      </c>
    </row>
    <row r="2543" spans="3:3" x14ac:dyDescent="0.25">
      <c r="C2543" s="51" t="str">
        <f>+IFERROR(IF(Tabla4[[#This Row],[FECHA]]&gt;$B$1,1,""),"")</f>
        <v/>
      </c>
    </row>
    <row r="2544" spans="3:3" x14ac:dyDescent="0.25">
      <c r="C2544" s="51" t="str">
        <f>+IFERROR(IF(Tabla4[[#This Row],[FECHA]]&gt;$B$1,1,""),"")</f>
        <v/>
      </c>
    </row>
    <row r="2545" spans="3:3" x14ac:dyDescent="0.25">
      <c r="C2545" s="51" t="str">
        <f>+IFERROR(IF(Tabla4[[#This Row],[FECHA]]&gt;$B$1,1,""),"")</f>
        <v/>
      </c>
    </row>
    <row r="2546" spans="3:3" x14ac:dyDescent="0.25">
      <c r="C2546" s="51" t="str">
        <f>+IFERROR(IF(Tabla4[[#This Row],[FECHA]]&gt;$B$1,1,""),"")</f>
        <v/>
      </c>
    </row>
    <row r="2547" spans="3:3" x14ac:dyDescent="0.25">
      <c r="C2547" s="51" t="str">
        <f>+IFERROR(IF(Tabla4[[#This Row],[FECHA]]&gt;$B$1,1,""),"")</f>
        <v/>
      </c>
    </row>
    <row r="2548" spans="3:3" x14ac:dyDescent="0.25">
      <c r="C2548" s="51" t="str">
        <f>+IFERROR(IF(Tabla4[[#This Row],[FECHA]]&gt;$B$1,1,""),"")</f>
        <v/>
      </c>
    </row>
    <row r="2549" spans="3:3" x14ac:dyDescent="0.25">
      <c r="C2549" s="51" t="str">
        <f>+IFERROR(IF(Tabla4[[#This Row],[FECHA]]&gt;$B$1,1,""),"")</f>
        <v/>
      </c>
    </row>
    <row r="2550" spans="3:3" x14ac:dyDescent="0.25">
      <c r="C2550" s="51" t="str">
        <f>+IFERROR(IF(Tabla4[[#This Row],[FECHA]]&gt;$B$1,1,""),"")</f>
        <v/>
      </c>
    </row>
    <row r="2551" spans="3:3" x14ac:dyDescent="0.25">
      <c r="C2551" s="51" t="str">
        <f>+IFERROR(IF(Tabla4[[#This Row],[FECHA]]&gt;$B$1,1,""),"")</f>
        <v/>
      </c>
    </row>
    <row r="2552" spans="3:3" x14ac:dyDescent="0.25">
      <c r="C2552" s="51" t="str">
        <f>+IFERROR(IF(Tabla4[[#This Row],[FECHA]]&gt;$B$1,1,""),"")</f>
        <v/>
      </c>
    </row>
    <row r="2553" spans="3:3" x14ac:dyDescent="0.25">
      <c r="C2553" s="51" t="str">
        <f>+IFERROR(IF(Tabla4[[#This Row],[FECHA]]&gt;$B$1,1,""),"")</f>
        <v/>
      </c>
    </row>
    <row r="2554" spans="3:3" x14ac:dyDescent="0.25">
      <c r="C2554" s="51" t="str">
        <f>+IFERROR(IF(Tabla4[[#This Row],[FECHA]]&gt;$B$1,1,""),"")</f>
        <v/>
      </c>
    </row>
    <row r="2555" spans="3:3" x14ac:dyDescent="0.25">
      <c r="C2555" s="51" t="str">
        <f>+IFERROR(IF(Tabla4[[#This Row],[FECHA]]&gt;$B$1,1,""),"")</f>
        <v/>
      </c>
    </row>
    <row r="2556" spans="3:3" x14ac:dyDescent="0.25">
      <c r="C2556" s="51" t="str">
        <f>+IFERROR(IF(Tabla4[[#This Row],[FECHA]]&gt;$B$1,1,""),"")</f>
        <v/>
      </c>
    </row>
    <row r="2557" spans="3:3" x14ac:dyDescent="0.25">
      <c r="C2557" s="51" t="str">
        <f>+IFERROR(IF(Tabla4[[#This Row],[FECHA]]&gt;$B$1,1,""),"")</f>
        <v/>
      </c>
    </row>
    <row r="2558" spans="3:3" x14ac:dyDescent="0.25">
      <c r="C2558" s="51" t="str">
        <f>+IFERROR(IF(Tabla4[[#This Row],[FECHA]]&gt;$B$1,1,""),"")</f>
        <v/>
      </c>
    </row>
    <row r="2559" spans="3:3" x14ac:dyDescent="0.25">
      <c r="C2559" s="51" t="str">
        <f>+IFERROR(IF(Tabla4[[#This Row],[FECHA]]&gt;$B$1,1,""),"")</f>
        <v/>
      </c>
    </row>
    <row r="2560" spans="3:3" x14ac:dyDescent="0.25">
      <c r="C2560" s="51" t="str">
        <f>+IFERROR(IF(Tabla4[[#This Row],[FECHA]]&gt;$B$1,1,""),"")</f>
        <v/>
      </c>
    </row>
    <row r="2561" spans="3:3" x14ac:dyDescent="0.25">
      <c r="C2561" s="51" t="str">
        <f>+IFERROR(IF(Tabla4[[#This Row],[FECHA]]&gt;$B$1,1,""),"")</f>
        <v/>
      </c>
    </row>
    <row r="2562" spans="3:3" x14ac:dyDescent="0.25">
      <c r="C2562" s="51" t="str">
        <f>+IFERROR(IF(Tabla4[[#This Row],[FECHA]]&gt;$B$1,1,""),"")</f>
        <v/>
      </c>
    </row>
    <row r="2563" spans="3:3" x14ac:dyDescent="0.25">
      <c r="C2563" s="51" t="str">
        <f>+IFERROR(IF(Tabla4[[#This Row],[FECHA]]&gt;$B$1,1,""),"")</f>
        <v/>
      </c>
    </row>
    <row r="2564" spans="3:3" x14ac:dyDescent="0.25">
      <c r="C2564" s="51" t="str">
        <f>+IFERROR(IF(Tabla4[[#This Row],[FECHA]]&gt;$B$1,1,""),"")</f>
        <v/>
      </c>
    </row>
    <row r="2565" spans="3:3" x14ac:dyDescent="0.25">
      <c r="C2565" s="51" t="str">
        <f>+IFERROR(IF(Tabla4[[#This Row],[FECHA]]&gt;$B$1,1,""),"")</f>
        <v/>
      </c>
    </row>
    <row r="2566" spans="3:3" x14ac:dyDescent="0.25">
      <c r="C2566" s="51" t="str">
        <f>+IFERROR(IF(Tabla4[[#This Row],[FECHA]]&gt;$B$1,1,""),"")</f>
        <v/>
      </c>
    </row>
    <row r="2567" spans="3:3" x14ac:dyDescent="0.25">
      <c r="C2567" s="51" t="str">
        <f>+IFERROR(IF(Tabla4[[#This Row],[FECHA]]&gt;$B$1,1,""),"")</f>
        <v/>
      </c>
    </row>
    <row r="2568" spans="3:3" x14ac:dyDescent="0.25">
      <c r="C2568" s="51" t="str">
        <f>+IFERROR(IF(Tabla4[[#This Row],[FECHA]]&gt;$B$1,1,""),"")</f>
        <v/>
      </c>
    </row>
    <row r="2569" spans="3:3" x14ac:dyDescent="0.25">
      <c r="C2569" s="51" t="str">
        <f>+IFERROR(IF(Tabla4[[#This Row],[FECHA]]&gt;$B$1,1,""),"")</f>
        <v/>
      </c>
    </row>
    <row r="2570" spans="3:3" x14ac:dyDescent="0.25">
      <c r="C2570" s="51" t="str">
        <f>+IFERROR(IF(Tabla4[[#This Row],[FECHA]]&gt;$B$1,1,""),"")</f>
        <v/>
      </c>
    </row>
    <row r="2571" spans="3:3" x14ac:dyDescent="0.25">
      <c r="C2571" s="51" t="str">
        <f>+IFERROR(IF(Tabla4[[#This Row],[FECHA]]&gt;$B$1,1,""),"")</f>
        <v/>
      </c>
    </row>
    <row r="2572" spans="3:3" x14ac:dyDescent="0.25">
      <c r="C2572" s="51" t="str">
        <f>+IFERROR(IF(Tabla4[[#This Row],[FECHA]]&gt;$B$1,1,""),"")</f>
        <v/>
      </c>
    </row>
    <row r="2573" spans="3:3" x14ac:dyDescent="0.25">
      <c r="C2573" s="51" t="str">
        <f>+IFERROR(IF(Tabla4[[#This Row],[FECHA]]&gt;$B$1,1,""),"")</f>
        <v/>
      </c>
    </row>
    <row r="2574" spans="3:3" x14ac:dyDescent="0.25">
      <c r="C2574" s="51" t="str">
        <f>+IFERROR(IF(Tabla4[[#This Row],[FECHA]]&gt;$B$1,1,""),"")</f>
        <v/>
      </c>
    </row>
    <row r="2575" spans="3:3" x14ac:dyDescent="0.25">
      <c r="C2575" s="51" t="str">
        <f>+IFERROR(IF(Tabla4[[#This Row],[FECHA]]&gt;$B$1,1,""),"")</f>
        <v/>
      </c>
    </row>
    <row r="2576" spans="3:3" x14ac:dyDescent="0.25">
      <c r="C2576" s="51" t="str">
        <f>+IFERROR(IF(Tabla4[[#This Row],[FECHA]]&gt;$B$1,1,""),"")</f>
        <v/>
      </c>
    </row>
    <row r="2577" spans="3:3" x14ac:dyDescent="0.25">
      <c r="C2577" s="51" t="str">
        <f>+IFERROR(IF(Tabla4[[#This Row],[FECHA]]&gt;$B$1,1,""),"")</f>
        <v/>
      </c>
    </row>
    <row r="2578" spans="3:3" x14ac:dyDescent="0.25">
      <c r="C2578" s="51" t="str">
        <f>+IFERROR(IF(Tabla4[[#This Row],[FECHA]]&gt;$B$1,1,""),"")</f>
        <v/>
      </c>
    </row>
    <row r="2579" spans="3:3" x14ac:dyDescent="0.25">
      <c r="C2579" s="51" t="str">
        <f>+IFERROR(IF(Tabla4[[#This Row],[FECHA]]&gt;$B$1,1,""),"")</f>
        <v/>
      </c>
    </row>
    <row r="2580" spans="3:3" x14ac:dyDescent="0.25">
      <c r="C2580" s="51" t="str">
        <f>+IFERROR(IF(Tabla4[[#This Row],[FECHA]]&gt;$B$1,1,""),"")</f>
        <v/>
      </c>
    </row>
    <row r="2581" spans="3:3" x14ac:dyDescent="0.25">
      <c r="C2581" s="51" t="str">
        <f>+IFERROR(IF(Tabla4[[#This Row],[FECHA]]&gt;$B$1,1,""),"")</f>
        <v/>
      </c>
    </row>
    <row r="2582" spans="3:3" x14ac:dyDescent="0.25">
      <c r="C2582" s="51" t="str">
        <f>+IFERROR(IF(Tabla4[[#This Row],[FECHA]]&gt;$B$1,1,""),"")</f>
        <v/>
      </c>
    </row>
    <row r="2583" spans="3:3" x14ac:dyDescent="0.25">
      <c r="C2583" s="51" t="str">
        <f>+IFERROR(IF(Tabla4[[#This Row],[FECHA]]&gt;$B$1,1,""),"")</f>
        <v/>
      </c>
    </row>
    <row r="2584" spans="3:3" x14ac:dyDescent="0.25">
      <c r="C2584" s="51" t="str">
        <f>+IFERROR(IF(Tabla4[[#This Row],[FECHA]]&gt;$B$1,1,""),"")</f>
        <v/>
      </c>
    </row>
    <row r="2585" spans="3:3" x14ac:dyDescent="0.25">
      <c r="C2585" s="51" t="str">
        <f>+IFERROR(IF(Tabla4[[#This Row],[FECHA]]&gt;$B$1,1,""),"")</f>
        <v/>
      </c>
    </row>
    <row r="2586" spans="3:3" x14ac:dyDescent="0.25">
      <c r="C2586" s="51" t="str">
        <f>+IFERROR(IF(Tabla4[[#This Row],[FECHA]]&gt;$B$1,1,""),"")</f>
        <v/>
      </c>
    </row>
    <row r="2587" spans="3:3" x14ac:dyDescent="0.25">
      <c r="C2587" s="51" t="str">
        <f>+IFERROR(IF(Tabla4[[#This Row],[FECHA]]&gt;$B$1,1,""),"")</f>
        <v/>
      </c>
    </row>
    <row r="2588" spans="3:3" x14ac:dyDescent="0.25">
      <c r="C2588" s="51" t="str">
        <f>+IFERROR(IF(Tabla4[[#This Row],[FECHA]]&gt;$B$1,1,""),"")</f>
        <v/>
      </c>
    </row>
    <row r="2589" spans="3:3" x14ac:dyDescent="0.25">
      <c r="C2589" s="51" t="str">
        <f>+IFERROR(IF(Tabla4[[#This Row],[FECHA]]&gt;$B$1,1,""),"")</f>
        <v/>
      </c>
    </row>
    <row r="2590" spans="3:3" x14ac:dyDescent="0.25">
      <c r="C2590" s="51" t="str">
        <f>+IFERROR(IF(Tabla4[[#This Row],[FECHA]]&gt;$B$1,1,""),"")</f>
        <v/>
      </c>
    </row>
    <row r="2591" spans="3:3" x14ac:dyDescent="0.25">
      <c r="C2591" s="51" t="str">
        <f>+IFERROR(IF(Tabla4[[#This Row],[FECHA]]&gt;$B$1,1,""),"")</f>
        <v/>
      </c>
    </row>
    <row r="2592" spans="3:3" x14ac:dyDescent="0.25">
      <c r="C2592" s="51" t="str">
        <f>+IFERROR(IF(Tabla4[[#This Row],[FECHA]]&gt;$B$1,1,""),"")</f>
        <v/>
      </c>
    </row>
    <row r="2593" spans="3:3" x14ac:dyDescent="0.25">
      <c r="C2593" s="51" t="str">
        <f>+IFERROR(IF(Tabla4[[#This Row],[FECHA]]&gt;$B$1,1,""),"")</f>
        <v/>
      </c>
    </row>
    <row r="2594" spans="3:3" x14ac:dyDescent="0.25">
      <c r="C2594" s="51" t="str">
        <f>+IFERROR(IF(Tabla4[[#This Row],[FECHA]]&gt;$B$1,1,""),"")</f>
        <v/>
      </c>
    </row>
    <row r="2595" spans="3:3" x14ac:dyDescent="0.25">
      <c r="C2595" s="51" t="str">
        <f>+IFERROR(IF(Tabla4[[#This Row],[FECHA]]&gt;$B$1,1,""),"")</f>
        <v/>
      </c>
    </row>
    <row r="2596" spans="3:3" x14ac:dyDescent="0.25">
      <c r="C2596" s="51" t="str">
        <f>+IFERROR(IF(Tabla4[[#This Row],[FECHA]]&gt;$B$1,1,""),"")</f>
        <v/>
      </c>
    </row>
    <row r="2597" spans="3:3" x14ac:dyDescent="0.25">
      <c r="C2597" s="51" t="str">
        <f>+IFERROR(IF(Tabla4[[#This Row],[FECHA]]&gt;$B$1,1,""),"")</f>
        <v/>
      </c>
    </row>
    <row r="2598" spans="3:3" x14ac:dyDescent="0.25">
      <c r="C2598" s="51" t="str">
        <f>+IFERROR(IF(Tabla4[[#This Row],[FECHA]]&gt;$B$1,1,""),"")</f>
        <v/>
      </c>
    </row>
    <row r="2599" spans="3:3" x14ac:dyDescent="0.25">
      <c r="C2599" s="51" t="str">
        <f>+IFERROR(IF(Tabla4[[#This Row],[FECHA]]&gt;$B$1,1,""),"")</f>
        <v/>
      </c>
    </row>
    <row r="2600" spans="3:3" x14ac:dyDescent="0.25">
      <c r="C2600" s="51" t="str">
        <f>+IFERROR(IF(Tabla4[[#This Row],[FECHA]]&gt;$B$1,1,""),"")</f>
        <v/>
      </c>
    </row>
    <row r="2601" spans="3:3" x14ac:dyDescent="0.25">
      <c r="C2601" s="51" t="str">
        <f>+IFERROR(IF(Tabla4[[#This Row],[FECHA]]&gt;$B$1,1,""),"")</f>
        <v/>
      </c>
    </row>
    <row r="2602" spans="3:3" x14ac:dyDescent="0.25">
      <c r="C2602" s="51" t="str">
        <f>+IFERROR(IF(Tabla4[[#This Row],[FECHA]]&gt;$B$1,1,""),"")</f>
        <v/>
      </c>
    </row>
    <row r="2603" spans="3:3" x14ac:dyDescent="0.25">
      <c r="C2603" s="51" t="str">
        <f>+IFERROR(IF(Tabla4[[#This Row],[FECHA]]&gt;$B$1,1,""),"")</f>
        <v/>
      </c>
    </row>
    <row r="2604" spans="3:3" x14ac:dyDescent="0.25">
      <c r="C2604" s="51" t="str">
        <f>+IFERROR(IF(Tabla4[[#This Row],[FECHA]]&gt;$B$1,1,""),"")</f>
        <v/>
      </c>
    </row>
    <row r="2605" spans="3:3" x14ac:dyDescent="0.25">
      <c r="C2605" s="51" t="str">
        <f>+IFERROR(IF(Tabla4[[#This Row],[FECHA]]&gt;$B$1,1,""),"")</f>
        <v/>
      </c>
    </row>
    <row r="2606" spans="3:3" x14ac:dyDescent="0.25">
      <c r="C2606" s="51" t="str">
        <f>+IFERROR(IF(Tabla4[[#This Row],[FECHA]]&gt;$B$1,1,""),"")</f>
        <v/>
      </c>
    </row>
    <row r="2607" spans="3:3" x14ac:dyDescent="0.25">
      <c r="C2607" s="51" t="str">
        <f>+IFERROR(IF(Tabla4[[#This Row],[FECHA]]&gt;$B$1,1,""),"")</f>
        <v/>
      </c>
    </row>
    <row r="2608" spans="3:3" x14ac:dyDescent="0.25">
      <c r="C2608" s="51" t="str">
        <f>+IFERROR(IF(Tabla4[[#This Row],[FECHA]]&gt;$B$1,1,""),"")</f>
        <v/>
      </c>
    </row>
    <row r="2609" spans="3:3" x14ac:dyDescent="0.25">
      <c r="C2609" s="51" t="str">
        <f>+IFERROR(IF(Tabla4[[#This Row],[FECHA]]&gt;$B$1,1,""),"")</f>
        <v/>
      </c>
    </row>
    <row r="2610" spans="3:3" x14ac:dyDescent="0.25">
      <c r="C2610" s="51" t="str">
        <f>+IFERROR(IF(Tabla4[[#This Row],[FECHA]]&gt;$B$1,1,""),"")</f>
        <v/>
      </c>
    </row>
    <row r="2611" spans="3:3" x14ac:dyDescent="0.25">
      <c r="C2611" s="51" t="str">
        <f>+IFERROR(IF(Tabla4[[#This Row],[FECHA]]&gt;$B$1,1,""),"")</f>
        <v/>
      </c>
    </row>
    <row r="2612" spans="3:3" x14ac:dyDescent="0.25">
      <c r="C2612" s="51" t="str">
        <f>+IFERROR(IF(Tabla4[[#This Row],[FECHA]]&gt;$B$1,1,""),"")</f>
        <v/>
      </c>
    </row>
    <row r="2613" spans="3:3" x14ac:dyDescent="0.25">
      <c r="C2613" s="51" t="str">
        <f>+IFERROR(IF(Tabla4[[#This Row],[FECHA]]&gt;$B$1,1,""),"")</f>
        <v/>
      </c>
    </row>
    <row r="2614" spans="3:3" x14ac:dyDescent="0.25">
      <c r="C2614" s="51" t="str">
        <f>+IFERROR(IF(Tabla4[[#This Row],[FECHA]]&gt;$B$1,1,""),"")</f>
        <v/>
      </c>
    </row>
    <row r="2615" spans="3:3" x14ac:dyDescent="0.25">
      <c r="C2615" s="51" t="str">
        <f>+IFERROR(IF(Tabla4[[#This Row],[FECHA]]&gt;$B$1,1,""),"")</f>
        <v/>
      </c>
    </row>
    <row r="2616" spans="3:3" x14ac:dyDescent="0.25">
      <c r="C2616" s="51" t="str">
        <f>+IFERROR(IF(Tabla4[[#This Row],[FECHA]]&gt;$B$1,1,""),"")</f>
        <v/>
      </c>
    </row>
    <row r="2617" spans="3:3" x14ac:dyDescent="0.25">
      <c r="C2617" s="51" t="str">
        <f>+IFERROR(IF(Tabla4[[#This Row],[FECHA]]&gt;$B$1,1,""),"")</f>
        <v/>
      </c>
    </row>
    <row r="2618" spans="3:3" x14ac:dyDescent="0.25">
      <c r="C2618" s="51" t="str">
        <f>+IFERROR(IF(Tabla4[[#This Row],[FECHA]]&gt;$B$1,1,""),"")</f>
        <v/>
      </c>
    </row>
    <row r="2619" spans="3:3" x14ac:dyDescent="0.25">
      <c r="C2619" s="51" t="str">
        <f>+IFERROR(IF(Tabla4[[#This Row],[FECHA]]&gt;$B$1,1,""),"")</f>
        <v/>
      </c>
    </row>
    <row r="2620" spans="3:3" x14ac:dyDescent="0.25">
      <c r="C2620" s="51" t="str">
        <f>+IFERROR(IF(Tabla4[[#This Row],[FECHA]]&gt;$B$1,1,""),"")</f>
        <v/>
      </c>
    </row>
    <row r="2621" spans="3:3" x14ac:dyDescent="0.25">
      <c r="C2621" s="51" t="str">
        <f>+IFERROR(IF(Tabla4[[#This Row],[FECHA]]&gt;$B$1,1,""),"")</f>
        <v/>
      </c>
    </row>
    <row r="2622" spans="3:3" x14ac:dyDescent="0.25">
      <c r="C2622" s="51" t="str">
        <f>+IFERROR(IF(Tabla4[[#This Row],[FECHA]]&gt;$B$1,1,""),"")</f>
        <v/>
      </c>
    </row>
    <row r="2623" spans="3:3" x14ac:dyDescent="0.25">
      <c r="C2623" s="51" t="str">
        <f>+IFERROR(IF(Tabla4[[#This Row],[FECHA]]&gt;$B$1,1,""),"")</f>
        <v/>
      </c>
    </row>
    <row r="2624" spans="3:3" x14ac:dyDescent="0.25">
      <c r="C2624" s="51" t="str">
        <f>+IFERROR(IF(Tabla4[[#This Row],[FECHA]]&gt;$B$1,1,""),"")</f>
        <v/>
      </c>
    </row>
    <row r="2625" spans="3:3" x14ac:dyDescent="0.25">
      <c r="C2625" s="51" t="str">
        <f>+IFERROR(IF(Tabla4[[#This Row],[FECHA]]&gt;$B$1,1,""),"")</f>
        <v/>
      </c>
    </row>
    <row r="2626" spans="3:3" x14ac:dyDescent="0.25">
      <c r="C2626" s="51" t="str">
        <f>+IFERROR(IF(Tabla4[[#This Row],[FECHA]]&gt;$B$1,1,""),"")</f>
        <v/>
      </c>
    </row>
    <row r="2627" spans="3:3" x14ac:dyDescent="0.25">
      <c r="C2627" s="51" t="str">
        <f>+IFERROR(IF(Tabla4[[#This Row],[FECHA]]&gt;$B$1,1,""),"")</f>
        <v/>
      </c>
    </row>
    <row r="2628" spans="3:3" x14ac:dyDescent="0.25">
      <c r="C2628" s="51" t="str">
        <f>+IFERROR(IF(Tabla4[[#This Row],[FECHA]]&gt;$B$1,1,""),"")</f>
        <v/>
      </c>
    </row>
    <row r="2629" spans="3:3" x14ac:dyDescent="0.25">
      <c r="C2629" s="51" t="str">
        <f>+IFERROR(IF(Tabla4[[#This Row],[FECHA]]&gt;$B$1,1,""),"")</f>
        <v/>
      </c>
    </row>
    <row r="2630" spans="3:3" x14ac:dyDescent="0.25">
      <c r="C2630" s="51" t="str">
        <f>+IFERROR(IF(Tabla4[[#This Row],[FECHA]]&gt;$B$1,1,""),"")</f>
        <v/>
      </c>
    </row>
    <row r="2631" spans="3:3" x14ac:dyDescent="0.25">
      <c r="C2631" s="51" t="str">
        <f>+IFERROR(IF(Tabla4[[#This Row],[FECHA]]&gt;$B$1,1,""),"")</f>
        <v/>
      </c>
    </row>
    <row r="2632" spans="3:3" x14ac:dyDescent="0.25">
      <c r="C2632" s="51" t="str">
        <f>+IFERROR(IF(Tabla4[[#This Row],[FECHA]]&gt;$B$1,1,""),"")</f>
        <v/>
      </c>
    </row>
    <row r="2633" spans="3:3" x14ac:dyDescent="0.25">
      <c r="C2633" s="51" t="str">
        <f>+IFERROR(IF(Tabla4[[#This Row],[FECHA]]&gt;$B$1,1,""),"")</f>
        <v/>
      </c>
    </row>
    <row r="2634" spans="3:3" x14ac:dyDescent="0.25">
      <c r="C2634" s="51" t="str">
        <f>+IFERROR(IF(Tabla4[[#This Row],[FECHA]]&gt;$B$1,1,""),"")</f>
        <v/>
      </c>
    </row>
    <row r="2635" spans="3:3" x14ac:dyDescent="0.25">
      <c r="C2635" s="51" t="str">
        <f>+IFERROR(IF(Tabla4[[#This Row],[FECHA]]&gt;$B$1,1,""),"")</f>
        <v/>
      </c>
    </row>
    <row r="2636" spans="3:3" x14ac:dyDescent="0.25">
      <c r="C2636" s="51" t="str">
        <f>+IFERROR(IF(Tabla4[[#This Row],[FECHA]]&gt;$B$1,1,""),"")</f>
        <v/>
      </c>
    </row>
    <row r="2637" spans="3:3" x14ac:dyDescent="0.25">
      <c r="C2637" s="51" t="str">
        <f>+IFERROR(IF(Tabla4[[#This Row],[FECHA]]&gt;$B$1,1,""),"")</f>
        <v/>
      </c>
    </row>
    <row r="2638" spans="3:3" x14ac:dyDescent="0.25">
      <c r="C2638" s="51" t="str">
        <f>+IFERROR(IF(Tabla4[[#This Row],[FECHA]]&gt;$B$1,1,""),"")</f>
        <v/>
      </c>
    </row>
    <row r="2639" spans="3:3" x14ac:dyDescent="0.25">
      <c r="C2639" s="51" t="str">
        <f>+IFERROR(IF(Tabla4[[#This Row],[FECHA]]&gt;$B$1,1,""),"")</f>
        <v/>
      </c>
    </row>
    <row r="2640" spans="3:3" x14ac:dyDescent="0.25">
      <c r="C2640" s="51" t="str">
        <f>+IFERROR(IF(Tabla4[[#This Row],[FECHA]]&gt;$B$1,1,""),"")</f>
        <v/>
      </c>
    </row>
    <row r="2641" spans="3:3" x14ac:dyDescent="0.25">
      <c r="C2641" s="51" t="str">
        <f>+IFERROR(IF(Tabla4[[#This Row],[FECHA]]&gt;$B$1,1,""),"")</f>
        <v/>
      </c>
    </row>
    <row r="2642" spans="3:3" x14ac:dyDescent="0.25">
      <c r="C2642" s="51" t="str">
        <f>+IFERROR(IF(Tabla4[[#This Row],[FECHA]]&gt;$B$1,1,""),"")</f>
        <v/>
      </c>
    </row>
    <row r="2643" spans="3:3" x14ac:dyDescent="0.25">
      <c r="C2643" s="51" t="str">
        <f>+IFERROR(IF(Tabla4[[#This Row],[FECHA]]&gt;$B$1,1,""),"")</f>
        <v/>
      </c>
    </row>
    <row r="2644" spans="3:3" x14ac:dyDescent="0.25">
      <c r="C2644" s="51" t="str">
        <f>+IFERROR(IF(Tabla4[[#This Row],[FECHA]]&gt;$B$1,1,""),"")</f>
        <v/>
      </c>
    </row>
    <row r="2645" spans="3:3" x14ac:dyDescent="0.25">
      <c r="C2645" s="51" t="str">
        <f>+IFERROR(IF(Tabla4[[#This Row],[FECHA]]&gt;$B$1,1,""),"")</f>
        <v/>
      </c>
    </row>
    <row r="2646" spans="3:3" x14ac:dyDescent="0.25">
      <c r="C2646" s="51" t="str">
        <f>+IFERROR(IF(Tabla4[[#This Row],[FECHA]]&gt;$B$1,1,""),"")</f>
        <v/>
      </c>
    </row>
    <row r="2647" spans="3:3" x14ac:dyDescent="0.25">
      <c r="C2647" s="51" t="str">
        <f>+IFERROR(IF(Tabla4[[#This Row],[FECHA]]&gt;$B$1,1,""),"")</f>
        <v/>
      </c>
    </row>
    <row r="2648" spans="3:3" x14ac:dyDescent="0.25">
      <c r="C2648" s="51" t="str">
        <f>+IFERROR(IF(Tabla4[[#This Row],[FECHA]]&gt;$B$1,1,""),"")</f>
        <v/>
      </c>
    </row>
    <row r="2649" spans="3:3" x14ac:dyDescent="0.25">
      <c r="C2649" s="51" t="str">
        <f>+IFERROR(IF(Tabla4[[#This Row],[FECHA]]&gt;$B$1,1,""),"")</f>
        <v/>
      </c>
    </row>
    <row r="2650" spans="3:3" x14ac:dyDescent="0.25">
      <c r="C2650" s="51" t="str">
        <f>+IFERROR(IF(Tabla4[[#This Row],[FECHA]]&gt;$B$1,1,""),"")</f>
        <v/>
      </c>
    </row>
    <row r="2651" spans="3:3" x14ac:dyDescent="0.25">
      <c r="C2651" s="51" t="str">
        <f>+IFERROR(IF(Tabla4[[#This Row],[FECHA]]&gt;$B$1,1,""),"")</f>
        <v/>
      </c>
    </row>
    <row r="2652" spans="3:3" x14ac:dyDescent="0.25">
      <c r="C2652" s="51" t="str">
        <f>+IFERROR(IF(Tabla4[[#This Row],[FECHA]]&gt;$B$1,1,""),"")</f>
        <v/>
      </c>
    </row>
    <row r="2653" spans="3:3" x14ac:dyDescent="0.25">
      <c r="C2653" s="51" t="str">
        <f>+IFERROR(IF(Tabla4[[#This Row],[FECHA]]&gt;$B$1,1,""),"")</f>
        <v/>
      </c>
    </row>
    <row r="2654" spans="3:3" x14ac:dyDescent="0.25">
      <c r="C2654" s="51" t="str">
        <f>+IFERROR(IF(Tabla4[[#This Row],[FECHA]]&gt;$B$1,1,""),"")</f>
        <v/>
      </c>
    </row>
    <row r="2655" spans="3:3" x14ac:dyDescent="0.25">
      <c r="C2655" s="51" t="str">
        <f>+IFERROR(IF(Tabla4[[#This Row],[FECHA]]&gt;$B$1,1,""),"")</f>
        <v/>
      </c>
    </row>
    <row r="2656" spans="3:3" x14ac:dyDescent="0.25">
      <c r="C2656" s="51" t="str">
        <f>+IFERROR(IF(Tabla4[[#This Row],[FECHA]]&gt;$B$1,1,""),"")</f>
        <v/>
      </c>
    </row>
    <row r="2657" spans="3:3" x14ac:dyDescent="0.25">
      <c r="C2657" s="51" t="str">
        <f>+IFERROR(IF(Tabla4[[#This Row],[FECHA]]&gt;$B$1,1,""),"")</f>
        <v/>
      </c>
    </row>
    <row r="2658" spans="3:3" x14ac:dyDescent="0.25">
      <c r="C2658" s="51" t="str">
        <f>+IFERROR(IF(Tabla4[[#This Row],[FECHA]]&gt;$B$1,1,""),"")</f>
        <v/>
      </c>
    </row>
    <row r="2659" spans="3:3" x14ac:dyDescent="0.25">
      <c r="C2659" s="51" t="str">
        <f>+IFERROR(IF(Tabla4[[#This Row],[FECHA]]&gt;$B$1,1,""),"")</f>
        <v/>
      </c>
    </row>
    <row r="2660" spans="3:3" x14ac:dyDescent="0.25">
      <c r="C2660" s="51" t="str">
        <f>+IFERROR(IF(Tabla4[[#This Row],[FECHA]]&gt;$B$1,1,""),"")</f>
        <v/>
      </c>
    </row>
    <row r="2661" spans="3:3" x14ac:dyDescent="0.25">
      <c r="C2661" s="51" t="str">
        <f>+IFERROR(IF(Tabla4[[#This Row],[FECHA]]&gt;$B$1,1,""),"")</f>
        <v/>
      </c>
    </row>
    <row r="2662" spans="3:3" x14ac:dyDescent="0.25">
      <c r="C2662" s="51" t="str">
        <f>+IFERROR(IF(Tabla4[[#This Row],[FECHA]]&gt;$B$1,1,""),"")</f>
        <v/>
      </c>
    </row>
    <row r="2663" spans="3:3" x14ac:dyDescent="0.25">
      <c r="C2663" s="51" t="str">
        <f>+IFERROR(IF(Tabla4[[#This Row],[FECHA]]&gt;$B$1,1,""),"")</f>
        <v/>
      </c>
    </row>
    <row r="2664" spans="3:3" x14ac:dyDescent="0.25">
      <c r="C2664" s="51" t="str">
        <f>+IFERROR(IF(Tabla4[[#This Row],[FECHA]]&gt;$B$1,1,""),"")</f>
        <v/>
      </c>
    </row>
    <row r="2665" spans="3:3" x14ac:dyDescent="0.25">
      <c r="C2665" s="51" t="str">
        <f>+IFERROR(IF(Tabla4[[#This Row],[FECHA]]&gt;$B$1,1,""),"")</f>
        <v/>
      </c>
    </row>
    <row r="2666" spans="3:3" x14ac:dyDescent="0.25">
      <c r="C2666" s="51" t="str">
        <f>+IFERROR(IF(Tabla4[[#This Row],[FECHA]]&gt;$B$1,1,""),"")</f>
        <v/>
      </c>
    </row>
    <row r="2667" spans="3:3" x14ac:dyDescent="0.25">
      <c r="C2667" s="51" t="str">
        <f>+IFERROR(IF(Tabla4[[#This Row],[FECHA]]&gt;$B$1,1,""),"")</f>
        <v/>
      </c>
    </row>
    <row r="2668" spans="3:3" x14ac:dyDescent="0.25">
      <c r="C2668" s="51" t="str">
        <f>+IFERROR(IF(Tabla4[[#This Row],[FECHA]]&gt;$B$1,1,""),"")</f>
        <v/>
      </c>
    </row>
    <row r="2669" spans="3:3" x14ac:dyDescent="0.25">
      <c r="C2669" s="51" t="str">
        <f>+IFERROR(IF(Tabla4[[#This Row],[FECHA]]&gt;$B$1,1,""),"")</f>
        <v/>
      </c>
    </row>
    <row r="2670" spans="3:3" x14ac:dyDescent="0.25">
      <c r="C2670" s="51" t="str">
        <f>+IFERROR(IF(Tabla4[[#This Row],[FECHA]]&gt;$B$1,1,""),"")</f>
        <v/>
      </c>
    </row>
    <row r="2671" spans="3:3" x14ac:dyDescent="0.25">
      <c r="C2671" s="51" t="str">
        <f>+IFERROR(IF(Tabla4[[#This Row],[FECHA]]&gt;$B$1,1,""),"")</f>
        <v/>
      </c>
    </row>
    <row r="2672" spans="3:3" x14ac:dyDescent="0.25">
      <c r="C2672" s="51" t="str">
        <f>+IFERROR(IF(Tabla4[[#This Row],[FECHA]]&gt;$B$1,1,""),"")</f>
        <v/>
      </c>
    </row>
    <row r="2673" spans="3:3" x14ac:dyDescent="0.25">
      <c r="C2673" s="51" t="str">
        <f>+IFERROR(IF(Tabla4[[#This Row],[FECHA]]&gt;$B$1,1,""),"")</f>
        <v/>
      </c>
    </row>
    <row r="2674" spans="3:3" x14ac:dyDescent="0.25">
      <c r="C2674" s="51" t="str">
        <f>+IFERROR(IF(Tabla4[[#This Row],[FECHA]]&gt;$B$1,1,""),"")</f>
        <v/>
      </c>
    </row>
    <row r="2675" spans="3:3" x14ac:dyDescent="0.25">
      <c r="C2675" s="51" t="str">
        <f>+IFERROR(IF(Tabla4[[#This Row],[FECHA]]&gt;$B$1,1,""),"")</f>
        <v/>
      </c>
    </row>
    <row r="2676" spans="3:3" x14ac:dyDescent="0.25">
      <c r="C2676" s="51" t="str">
        <f>+IFERROR(IF(Tabla4[[#This Row],[FECHA]]&gt;$B$1,1,""),"")</f>
        <v/>
      </c>
    </row>
    <row r="2677" spans="3:3" x14ac:dyDescent="0.25">
      <c r="C2677" s="51" t="str">
        <f>+IFERROR(IF(Tabla4[[#This Row],[FECHA]]&gt;$B$1,1,""),"")</f>
        <v/>
      </c>
    </row>
    <row r="2678" spans="3:3" x14ac:dyDescent="0.25">
      <c r="C2678" s="51" t="str">
        <f>+IFERROR(IF(Tabla4[[#This Row],[FECHA]]&gt;$B$1,1,""),"")</f>
        <v/>
      </c>
    </row>
    <row r="2679" spans="3:3" x14ac:dyDescent="0.25">
      <c r="C2679" s="51" t="str">
        <f>+IFERROR(IF(Tabla4[[#This Row],[FECHA]]&gt;$B$1,1,""),"")</f>
        <v/>
      </c>
    </row>
    <row r="2680" spans="3:3" x14ac:dyDescent="0.25">
      <c r="C2680" s="51" t="str">
        <f>+IFERROR(IF(Tabla4[[#This Row],[FECHA]]&gt;$B$1,1,""),"")</f>
        <v/>
      </c>
    </row>
    <row r="2681" spans="3:3" x14ac:dyDescent="0.25">
      <c r="C2681" s="51" t="str">
        <f>+IFERROR(IF(Tabla4[[#This Row],[FECHA]]&gt;$B$1,1,""),"")</f>
        <v/>
      </c>
    </row>
    <row r="2682" spans="3:3" x14ac:dyDescent="0.25">
      <c r="C2682" s="51" t="str">
        <f>+IFERROR(IF(Tabla4[[#This Row],[FECHA]]&gt;$B$1,1,""),"")</f>
        <v/>
      </c>
    </row>
    <row r="2683" spans="3:3" x14ac:dyDescent="0.25">
      <c r="C2683" s="51" t="str">
        <f>+IFERROR(IF(Tabla4[[#This Row],[FECHA]]&gt;$B$1,1,""),"")</f>
        <v/>
      </c>
    </row>
    <row r="2684" spans="3:3" x14ac:dyDescent="0.25">
      <c r="C2684" s="51" t="str">
        <f>+IFERROR(IF(Tabla4[[#This Row],[FECHA]]&gt;$B$1,1,""),"")</f>
        <v/>
      </c>
    </row>
    <row r="2685" spans="3:3" x14ac:dyDescent="0.25">
      <c r="C2685" s="51" t="str">
        <f>+IFERROR(IF(Tabla4[[#This Row],[FECHA]]&gt;$B$1,1,""),"")</f>
        <v/>
      </c>
    </row>
    <row r="2686" spans="3:3" x14ac:dyDescent="0.25">
      <c r="C2686" s="51" t="str">
        <f>+IFERROR(IF(Tabla4[[#This Row],[FECHA]]&gt;$B$1,1,""),"")</f>
        <v/>
      </c>
    </row>
    <row r="2687" spans="3:3" x14ac:dyDescent="0.25">
      <c r="C2687" s="51" t="str">
        <f>+IFERROR(IF(Tabla4[[#This Row],[FECHA]]&gt;$B$1,1,""),"")</f>
        <v/>
      </c>
    </row>
    <row r="2688" spans="3:3" x14ac:dyDescent="0.25">
      <c r="C2688" s="51" t="str">
        <f>+IFERROR(IF(Tabla4[[#This Row],[FECHA]]&gt;$B$1,1,""),"")</f>
        <v/>
      </c>
    </row>
    <row r="2689" spans="3:3" x14ac:dyDescent="0.25">
      <c r="C2689" s="51" t="str">
        <f>+IFERROR(IF(Tabla4[[#This Row],[FECHA]]&gt;$B$1,1,""),"")</f>
        <v/>
      </c>
    </row>
    <row r="2690" spans="3:3" x14ac:dyDescent="0.25">
      <c r="C2690" s="51" t="str">
        <f>+IFERROR(IF(Tabla4[[#This Row],[FECHA]]&gt;$B$1,1,""),"")</f>
        <v/>
      </c>
    </row>
    <row r="2691" spans="3:3" x14ac:dyDescent="0.25">
      <c r="C2691" s="51" t="str">
        <f>+IFERROR(IF(Tabla4[[#This Row],[FECHA]]&gt;$B$1,1,""),"")</f>
        <v/>
      </c>
    </row>
    <row r="2692" spans="3:3" x14ac:dyDescent="0.25">
      <c r="C2692" s="51" t="str">
        <f>+IFERROR(IF(Tabla4[[#This Row],[FECHA]]&gt;$B$1,1,""),"")</f>
        <v/>
      </c>
    </row>
    <row r="2693" spans="3:3" x14ac:dyDescent="0.25">
      <c r="C2693" s="51" t="str">
        <f>+IFERROR(IF(Tabla4[[#This Row],[FECHA]]&gt;$B$1,1,""),"")</f>
        <v/>
      </c>
    </row>
    <row r="2694" spans="3:3" x14ac:dyDescent="0.25">
      <c r="C2694" s="51" t="str">
        <f>+IFERROR(IF(Tabla4[[#This Row],[FECHA]]&gt;$B$1,1,""),"")</f>
        <v/>
      </c>
    </row>
    <row r="2695" spans="3:3" x14ac:dyDescent="0.25">
      <c r="C2695" s="51" t="str">
        <f>+IFERROR(IF(Tabla4[[#This Row],[FECHA]]&gt;$B$1,1,""),"")</f>
        <v/>
      </c>
    </row>
    <row r="2696" spans="3:3" x14ac:dyDescent="0.25">
      <c r="C2696" s="51" t="str">
        <f>+IFERROR(IF(Tabla4[[#This Row],[FECHA]]&gt;$B$1,1,""),"")</f>
        <v/>
      </c>
    </row>
    <row r="2697" spans="3:3" x14ac:dyDescent="0.25">
      <c r="C2697" s="51" t="str">
        <f>+IFERROR(IF(Tabla4[[#This Row],[FECHA]]&gt;$B$1,1,""),"")</f>
        <v/>
      </c>
    </row>
    <row r="2698" spans="3:3" x14ac:dyDescent="0.25">
      <c r="C2698" s="51" t="str">
        <f>+IFERROR(IF(Tabla4[[#This Row],[FECHA]]&gt;$B$1,1,""),"")</f>
        <v/>
      </c>
    </row>
    <row r="2699" spans="3:3" x14ac:dyDescent="0.25">
      <c r="C2699" s="51" t="str">
        <f>+IFERROR(IF(Tabla4[[#This Row],[FECHA]]&gt;$B$1,1,""),"")</f>
        <v/>
      </c>
    </row>
    <row r="2700" spans="3:3" x14ac:dyDescent="0.25">
      <c r="C2700" s="51" t="str">
        <f>+IFERROR(IF(Tabla4[[#This Row],[FECHA]]&gt;$B$1,1,""),"")</f>
        <v/>
      </c>
    </row>
    <row r="2701" spans="3:3" x14ac:dyDescent="0.25">
      <c r="C2701" s="51" t="str">
        <f>+IFERROR(IF(Tabla4[[#This Row],[FECHA]]&gt;$B$1,1,""),"")</f>
        <v/>
      </c>
    </row>
    <row r="2702" spans="3:3" x14ac:dyDescent="0.25">
      <c r="C2702" s="51" t="str">
        <f>+IFERROR(IF(Tabla4[[#This Row],[FECHA]]&gt;$B$1,1,""),"")</f>
        <v/>
      </c>
    </row>
    <row r="2703" spans="3:3" x14ac:dyDescent="0.25">
      <c r="C2703" s="51" t="str">
        <f>+IFERROR(IF(Tabla4[[#This Row],[FECHA]]&gt;$B$1,1,""),"")</f>
        <v/>
      </c>
    </row>
    <row r="2704" spans="3:3" x14ac:dyDescent="0.25">
      <c r="C2704" s="51" t="str">
        <f>+IFERROR(IF(Tabla4[[#This Row],[FECHA]]&gt;$B$1,1,""),"")</f>
        <v/>
      </c>
    </row>
    <row r="2705" spans="3:3" x14ac:dyDescent="0.25">
      <c r="C2705" s="51" t="str">
        <f>+IFERROR(IF(Tabla4[[#This Row],[FECHA]]&gt;$B$1,1,""),"")</f>
        <v/>
      </c>
    </row>
    <row r="2706" spans="3:3" x14ac:dyDescent="0.25">
      <c r="C2706" s="51" t="str">
        <f>+IFERROR(IF(Tabla4[[#This Row],[FECHA]]&gt;$B$1,1,""),"")</f>
        <v/>
      </c>
    </row>
    <row r="2707" spans="3:3" x14ac:dyDescent="0.25">
      <c r="C2707" s="51" t="str">
        <f>+IFERROR(IF(Tabla4[[#This Row],[FECHA]]&gt;$B$1,1,""),"")</f>
        <v/>
      </c>
    </row>
    <row r="2708" spans="3:3" x14ac:dyDescent="0.25">
      <c r="C2708" s="51" t="str">
        <f>+IFERROR(IF(Tabla4[[#This Row],[FECHA]]&gt;$B$1,1,""),"")</f>
        <v/>
      </c>
    </row>
    <row r="2709" spans="3:3" x14ac:dyDescent="0.25">
      <c r="C2709" s="51" t="str">
        <f>+IFERROR(IF(Tabla4[[#This Row],[FECHA]]&gt;$B$1,1,""),"")</f>
        <v/>
      </c>
    </row>
    <row r="2710" spans="3:3" x14ac:dyDescent="0.25">
      <c r="C2710" s="51" t="str">
        <f>+IFERROR(IF(Tabla4[[#This Row],[FECHA]]&gt;$B$1,1,""),"")</f>
        <v/>
      </c>
    </row>
    <row r="2711" spans="3:3" x14ac:dyDescent="0.25">
      <c r="C2711" s="51" t="str">
        <f>+IFERROR(IF(Tabla4[[#This Row],[FECHA]]&gt;$B$1,1,""),"")</f>
        <v/>
      </c>
    </row>
    <row r="2712" spans="3:3" x14ac:dyDescent="0.25">
      <c r="C2712" s="51" t="str">
        <f>+IFERROR(IF(Tabla4[[#This Row],[FECHA]]&gt;$B$1,1,""),"")</f>
        <v/>
      </c>
    </row>
    <row r="2713" spans="3:3" x14ac:dyDescent="0.25">
      <c r="C2713" s="51" t="str">
        <f>+IFERROR(IF(Tabla4[[#This Row],[FECHA]]&gt;$B$1,1,""),"")</f>
        <v/>
      </c>
    </row>
    <row r="2714" spans="3:3" x14ac:dyDescent="0.25">
      <c r="C2714" s="51" t="str">
        <f>+IFERROR(IF(Tabla4[[#This Row],[FECHA]]&gt;$B$1,1,""),"")</f>
        <v/>
      </c>
    </row>
    <row r="2715" spans="3:3" x14ac:dyDescent="0.25">
      <c r="C2715" s="51" t="str">
        <f>+IFERROR(IF(Tabla4[[#This Row],[FECHA]]&gt;$B$1,1,""),"")</f>
        <v/>
      </c>
    </row>
    <row r="2716" spans="3:3" x14ac:dyDescent="0.25">
      <c r="C2716" s="51" t="str">
        <f>+IFERROR(IF(Tabla4[[#This Row],[FECHA]]&gt;$B$1,1,""),"")</f>
        <v/>
      </c>
    </row>
    <row r="2717" spans="3:3" x14ac:dyDescent="0.25">
      <c r="C2717" s="51" t="str">
        <f>+IFERROR(IF(Tabla4[[#This Row],[FECHA]]&gt;$B$1,1,""),"")</f>
        <v/>
      </c>
    </row>
    <row r="2718" spans="3:3" x14ac:dyDescent="0.25">
      <c r="C2718" s="51" t="str">
        <f>+IFERROR(IF(Tabla4[[#This Row],[FECHA]]&gt;$B$1,1,""),"")</f>
        <v/>
      </c>
    </row>
    <row r="2719" spans="3:3" x14ac:dyDescent="0.25">
      <c r="C2719" s="51" t="str">
        <f>+IFERROR(IF(Tabla4[[#This Row],[FECHA]]&gt;$B$1,1,""),"")</f>
        <v/>
      </c>
    </row>
    <row r="2720" spans="3:3" x14ac:dyDescent="0.25">
      <c r="C2720" s="51" t="str">
        <f>+IFERROR(IF(Tabla4[[#This Row],[FECHA]]&gt;$B$1,1,""),"")</f>
        <v/>
      </c>
    </row>
    <row r="2721" spans="3:3" x14ac:dyDescent="0.25">
      <c r="C2721" s="51" t="str">
        <f>+IFERROR(IF(Tabla4[[#This Row],[FECHA]]&gt;$B$1,1,""),"")</f>
        <v/>
      </c>
    </row>
    <row r="2722" spans="3:3" x14ac:dyDescent="0.25">
      <c r="C2722" s="51" t="str">
        <f>+IFERROR(IF(Tabla4[[#This Row],[FECHA]]&gt;$B$1,1,""),"")</f>
        <v/>
      </c>
    </row>
    <row r="2723" spans="3:3" x14ac:dyDescent="0.25">
      <c r="C2723" s="51" t="str">
        <f>+IFERROR(IF(Tabla4[[#This Row],[FECHA]]&gt;$B$1,1,""),"")</f>
        <v/>
      </c>
    </row>
    <row r="2724" spans="3:3" x14ac:dyDescent="0.25">
      <c r="C2724" s="51" t="str">
        <f>+IFERROR(IF(Tabla4[[#This Row],[FECHA]]&gt;$B$1,1,""),"")</f>
        <v/>
      </c>
    </row>
    <row r="2725" spans="3:3" x14ac:dyDescent="0.25">
      <c r="C2725" s="51" t="str">
        <f>+IFERROR(IF(Tabla4[[#This Row],[FECHA]]&gt;$B$1,1,""),"")</f>
        <v/>
      </c>
    </row>
  </sheetData>
  <mergeCells count="3">
    <mergeCell ref="B1:C1"/>
    <mergeCell ref="B2:C2"/>
    <mergeCell ref="D5:I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F2:H613"/>
  <sheetViews>
    <sheetView workbookViewId="0">
      <selection activeCell="G13" sqref="G13"/>
    </sheetView>
  </sheetViews>
  <sheetFormatPr baseColWidth="10" defaultRowHeight="15" x14ac:dyDescent="0.25"/>
  <cols>
    <col min="1" max="5" width="11.42578125" style="1"/>
    <col min="6" max="6" width="26" style="1" customWidth="1"/>
    <col min="7" max="7" width="55" style="1" customWidth="1"/>
    <col min="8" max="8" width="26" style="1" customWidth="1"/>
    <col min="9" max="16384" width="11.42578125" style="1"/>
  </cols>
  <sheetData>
    <row r="2" spans="6:8" x14ac:dyDescent="0.25">
      <c r="F2" s="14"/>
      <c r="H2" s="14"/>
    </row>
    <row r="3" spans="6:8" ht="18.75" x14ac:dyDescent="0.25">
      <c r="F3" s="44" t="s">
        <v>34</v>
      </c>
      <c r="G3" s="44" t="s">
        <v>35</v>
      </c>
      <c r="H3" s="44" t="s">
        <v>36</v>
      </c>
    </row>
    <row r="4" spans="6:8" x14ac:dyDescent="0.25">
      <c r="F4" s="13"/>
      <c r="G4" s="3"/>
      <c r="H4" s="13"/>
    </row>
    <row r="5" spans="6:8" x14ac:dyDescent="0.25">
      <c r="F5" s="13"/>
      <c r="G5" s="3"/>
      <c r="H5" s="13"/>
    </row>
    <row r="6" spans="6:8" x14ac:dyDescent="0.25">
      <c r="F6" s="3"/>
      <c r="G6" s="3"/>
      <c r="H6" s="3"/>
    </row>
    <row r="7" spans="6:8" x14ac:dyDescent="0.25">
      <c r="F7" s="3"/>
      <c r="G7" s="3"/>
      <c r="H7" s="3"/>
    </row>
    <row r="8" spans="6:8" x14ac:dyDescent="0.25">
      <c r="F8" s="3"/>
      <c r="G8" s="3"/>
      <c r="H8" s="3"/>
    </row>
    <row r="9" spans="6:8" x14ac:dyDescent="0.25">
      <c r="F9" s="3"/>
      <c r="G9" s="3"/>
      <c r="H9" s="3"/>
    </row>
    <row r="10" spans="6:8" x14ac:dyDescent="0.25">
      <c r="F10" s="3"/>
      <c r="G10" s="3"/>
      <c r="H10" s="3"/>
    </row>
    <row r="11" spans="6:8" x14ac:dyDescent="0.25">
      <c r="F11" s="3"/>
      <c r="G11" s="3"/>
      <c r="H11" s="3"/>
    </row>
    <row r="12" spans="6:8" x14ac:dyDescent="0.25">
      <c r="F12" s="3"/>
      <c r="G12" s="3"/>
      <c r="H12" s="3"/>
    </row>
    <row r="13" spans="6:8" x14ac:dyDescent="0.25">
      <c r="F13" s="3"/>
      <c r="G13" s="3"/>
      <c r="H13" s="3"/>
    </row>
    <row r="14" spans="6:8" x14ac:dyDescent="0.25">
      <c r="F14" s="3"/>
      <c r="G14" s="3"/>
      <c r="H14" s="3"/>
    </row>
    <row r="15" spans="6:8" x14ac:dyDescent="0.25">
      <c r="F15" s="3"/>
      <c r="G15" s="3"/>
      <c r="H15" s="3"/>
    </row>
    <row r="16" spans="6:8" x14ac:dyDescent="0.25">
      <c r="F16" s="3"/>
      <c r="G16" s="3"/>
      <c r="H16" s="3"/>
    </row>
    <row r="17" spans="6:8" x14ac:dyDescent="0.25">
      <c r="F17" s="3"/>
      <c r="G17" s="3"/>
      <c r="H17" s="3"/>
    </row>
    <row r="18" spans="6:8" x14ac:dyDescent="0.25">
      <c r="F18" s="3"/>
      <c r="G18" s="3"/>
      <c r="H18" s="3"/>
    </row>
    <row r="19" spans="6:8" x14ac:dyDescent="0.25">
      <c r="F19" s="3"/>
      <c r="G19" s="3"/>
      <c r="H19" s="3"/>
    </row>
    <row r="20" spans="6:8" x14ac:dyDescent="0.25">
      <c r="F20" s="3"/>
      <c r="G20" s="3"/>
      <c r="H20" s="3"/>
    </row>
    <row r="21" spans="6:8" x14ac:dyDescent="0.25">
      <c r="F21" s="3"/>
      <c r="G21" s="3"/>
      <c r="H21" s="3"/>
    </row>
    <row r="22" spans="6:8" x14ac:dyDescent="0.25">
      <c r="F22" s="3"/>
      <c r="G22" s="3"/>
      <c r="H22" s="3"/>
    </row>
    <row r="23" spans="6:8" x14ac:dyDescent="0.25">
      <c r="F23" s="3"/>
      <c r="G23" s="3"/>
      <c r="H23" s="3"/>
    </row>
    <row r="24" spans="6:8" x14ac:dyDescent="0.25">
      <c r="F24" s="3"/>
      <c r="G24" s="3"/>
      <c r="H24" s="3"/>
    </row>
    <row r="25" spans="6:8" x14ac:dyDescent="0.25">
      <c r="F25" s="3"/>
      <c r="G25" s="3"/>
      <c r="H25" s="3"/>
    </row>
    <row r="26" spans="6:8" x14ac:dyDescent="0.25">
      <c r="F26" s="3"/>
      <c r="G26" s="3"/>
      <c r="H26" s="3"/>
    </row>
    <row r="27" spans="6:8" x14ac:dyDescent="0.25">
      <c r="F27" s="3"/>
      <c r="G27" s="3"/>
      <c r="H27" s="3"/>
    </row>
    <row r="28" spans="6:8" x14ac:dyDescent="0.25">
      <c r="F28" s="3"/>
      <c r="G28" s="3"/>
      <c r="H28" s="3"/>
    </row>
    <row r="29" spans="6:8" x14ac:dyDescent="0.25">
      <c r="F29" s="3"/>
      <c r="G29" s="3"/>
      <c r="H29" s="3"/>
    </row>
    <row r="30" spans="6:8" x14ac:dyDescent="0.25">
      <c r="F30" s="3"/>
      <c r="G30" s="3"/>
      <c r="H30" s="3"/>
    </row>
    <row r="31" spans="6:8" x14ac:dyDescent="0.25">
      <c r="F31" s="3"/>
      <c r="G31" s="3"/>
      <c r="H31" s="3"/>
    </row>
    <row r="32" spans="6:8" x14ac:dyDescent="0.25">
      <c r="F32" s="3"/>
      <c r="G32" s="3"/>
      <c r="H32" s="3"/>
    </row>
    <row r="33" spans="6:8" x14ac:dyDescent="0.25">
      <c r="F33" s="3"/>
      <c r="G33" s="3"/>
      <c r="H33" s="3"/>
    </row>
    <row r="34" spans="6:8" x14ac:dyDescent="0.25">
      <c r="F34" s="3"/>
      <c r="G34" s="3"/>
      <c r="H34" s="3"/>
    </row>
    <row r="35" spans="6:8" x14ac:dyDescent="0.25">
      <c r="F35" s="3"/>
      <c r="G35" s="3"/>
      <c r="H35" s="3"/>
    </row>
    <row r="36" spans="6:8" x14ac:dyDescent="0.25">
      <c r="F36" s="3"/>
      <c r="G36" s="3"/>
      <c r="H36" s="3"/>
    </row>
    <row r="37" spans="6:8" x14ac:dyDescent="0.25">
      <c r="F37" s="3"/>
      <c r="G37" s="3"/>
      <c r="H37" s="3"/>
    </row>
    <row r="38" spans="6:8" x14ac:dyDescent="0.25">
      <c r="F38" s="3"/>
      <c r="G38" s="3"/>
      <c r="H38" s="3"/>
    </row>
    <row r="39" spans="6:8" x14ac:dyDescent="0.25">
      <c r="F39" s="3"/>
      <c r="G39" s="3"/>
      <c r="H39" s="3"/>
    </row>
    <row r="40" spans="6:8" x14ac:dyDescent="0.25">
      <c r="F40" s="3"/>
      <c r="G40" s="3"/>
      <c r="H40" s="3"/>
    </row>
    <row r="41" spans="6:8" x14ac:dyDescent="0.25">
      <c r="F41" s="3"/>
      <c r="G41" s="3"/>
      <c r="H41" s="3"/>
    </row>
    <row r="42" spans="6:8" x14ac:dyDescent="0.25">
      <c r="F42" s="3"/>
      <c r="G42" s="3"/>
      <c r="H42" s="3"/>
    </row>
    <row r="43" spans="6:8" x14ac:dyDescent="0.25">
      <c r="F43" s="3"/>
      <c r="G43" s="3"/>
      <c r="H43" s="3"/>
    </row>
    <row r="44" spans="6:8" x14ac:dyDescent="0.25">
      <c r="F44" s="3"/>
      <c r="G44" s="3"/>
      <c r="H44" s="3"/>
    </row>
    <row r="45" spans="6:8" x14ac:dyDescent="0.25">
      <c r="F45" s="3"/>
      <c r="G45" s="3"/>
      <c r="H45" s="3"/>
    </row>
    <row r="46" spans="6:8" x14ac:dyDescent="0.25">
      <c r="F46" s="3"/>
      <c r="G46" s="3"/>
      <c r="H46" s="3"/>
    </row>
    <row r="47" spans="6:8" x14ac:dyDescent="0.25">
      <c r="F47" s="3"/>
      <c r="G47" s="3"/>
      <c r="H47" s="3"/>
    </row>
    <row r="48" spans="6:8" x14ac:dyDescent="0.25">
      <c r="F48" s="3"/>
      <c r="G48" s="3"/>
      <c r="H48" s="3"/>
    </row>
    <row r="49" spans="6:8" x14ac:dyDescent="0.25">
      <c r="F49" s="3"/>
      <c r="G49" s="3"/>
      <c r="H49" s="3"/>
    </row>
    <row r="50" spans="6:8" x14ac:dyDescent="0.25">
      <c r="F50" s="3"/>
      <c r="G50" s="3"/>
      <c r="H50" s="3"/>
    </row>
    <row r="51" spans="6:8" x14ac:dyDescent="0.25">
      <c r="F51" s="3"/>
      <c r="G51" s="3"/>
      <c r="H51" s="3"/>
    </row>
    <row r="52" spans="6:8" x14ac:dyDescent="0.25">
      <c r="F52" s="3"/>
      <c r="G52" s="3"/>
      <c r="H52" s="3"/>
    </row>
    <row r="53" spans="6:8" x14ac:dyDescent="0.25">
      <c r="F53" s="3"/>
      <c r="G53" s="3"/>
      <c r="H53" s="3"/>
    </row>
    <row r="54" spans="6:8" x14ac:dyDescent="0.25">
      <c r="F54" s="3"/>
      <c r="G54" s="3"/>
      <c r="H54" s="3"/>
    </row>
    <row r="55" spans="6:8" x14ac:dyDescent="0.25">
      <c r="F55" s="3"/>
      <c r="G55" s="3"/>
      <c r="H55" s="3"/>
    </row>
    <row r="56" spans="6:8" x14ac:dyDescent="0.25">
      <c r="F56" s="3"/>
      <c r="G56" s="3"/>
      <c r="H56" s="3"/>
    </row>
    <row r="57" spans="6:8" x14ac:dyDescent="0.25">
      <c r="F57" s="3"/>
      <c r="G57" s="3"/>
      <c r="H57" s="3"/>
    </row>
    <row r="58" spans="6:8" x14ac:dyDescent="0.25">
      <c r="F58" s="3"/>
      <c r="G58" s="3"/>
      <c r="H58" s="3"/>
    </row>
    <row r="59" spans="6:8" x14ac:dyDescent="0.25">
      <c r="F59" s="3"/>
      <c r="G59" s="3"/>
      <c r="H59" s="3"/>
    </row>
    <row r="60" spans="6:8" x14ac:dyDescent="0.25">
      <c r="F60" s="3"/>
      <c r="G60" s="3"/>
      <c r="H60" s="3"/>
    </row>
    <row r="61" spans="6:8" x14ac:dyDescent="0.25">
      <c r="F61" s="3"/>
      <c r="G61" s="3"/>
      <c r="H61" s="3"/>
    </row>
    <row r="62" spans="6:8" x14ac:dyDescent="0.25">
      <c r="F62" s="3"/>
      <c r="G62" s="3"/>
      <c r="H62" s="3"/>
    </row>
    <row r="63" spans="6:8" x14ac:dyDescent="0.25">
      <c r="F63" s="3"/>
      <c r="G63" s="3"/>
      <c r="H63" s="3"/>
    </row>
    <row r="64" spans="6:8" x14ac:dyDescent="0.25">
      <c r="F64" s="3"/>
      <c r="G64" s="3"/>
      <c r="H64" s="3"/>
    </row>
    <row r="65" spans="6:8" x14ac:dyDescent="0.25">
      <c r="F65" s="3"/>
      <c r="G65" s="3"/>
      <c r="H65" s="3"/>
    </row>
    <row r="66" spans="6:8" x14ac:dyDescent="0.25">
      <c r="F66" s="3"/>
      <c r="G66" s="3"/>
      <c r="H66" s="3"/>
    </row>
    <row r="67" spans="6:8" x14ac:dyDescent="0.25">
      <c r="F67" s="3"/>
      <c r="G67" s="3"/>
      <c r="H67" s="3"/>
    </row>
    <row r="68" spans="6:8" x14ac:dyDescent="0.25">
      <c r="F68" s="3"/>
      <c r="G68" s="3"/>
      <c r="H68" s="3"/>
    </row>
    <row r="69" spans="6:8" x14ac:dyDescent="0.25">
      <c r="F69" s="3"/>
      <c r="G69" s="3"/>
      <c r="H69" s="3"/>
    </row>
    <row r="70" spans="6:8" x14ac:dyDescent="0.25">
      <c r="F70" s="3"/>
      <c r="G70" s="3"/>
      <c r="H70" s="3"/>
    </row>
    <row r="71" spans="6:8" x14ac:dyDescent="0.25">
      <c r="F71" s="3"/>
      <c r="G71" s="3"/>
      <c r="H71" s="3"/>
    </row>
    <row r="72" spans="6:8" x14ac:dyDescent="0.25">
      <c r="F72" s="3"/>
      <c r="G72" s="3"/>
      <c r="H72" s="3"/>
    </row>
    <row r="73" spans="6:8" x14ac:dyDescent="0.25">
      <c r="F73" s="3"/>
      <c r="G73" s="3"/>
      <c r="H73" s="3"/>
    </row>
    <row r="74" spans="6:8" x14ac:dyDescent="0.25">
      <c r="F74" s="3"/>
      <c r="G74" s="3"/>
      <c r="H74" s="3"/>
    </row>
    <row r="75" spans="6:8" x14ac:dyDescent="0.25">
      <c r="F75" s="3"/>
      <c r="G75" s="3"/>
      <c r="H75" s="3"/>
    </row>
    <row r="76" spans="6:8" x14ac:dyDescent="0.25">
      <c r="F76" s="3"/>
      <c r="G76" s="3"/>
      <c r="H76" s="3"/>
    </row>
    <row r="77" spans="6:8" x14ac:dyDescent="0.25">
      <c r="F77" s="3"/>
      <c r="G77" s="3"/>
      <c r="H77" s="3"/>
    </row>
    <row r="78" spans="6:8" x14ac:dyDescent="0.25">
      <c r="F78" s="3"/>
      <c r="G78" s="3"/>
      <c r="H78" s="3"/>
    </row>
    <row r="79" spans="6:8" x14ac:dyDescent="0.25">
      <c r="F79" s="3"/>
      <c r="G79" s="3"/>
      <c r="H79" s="3"/>
    </row>
    <row r="80" spans="6:8" x14ac:dyDescent="0.25">
      <c r="F80" s="3"/>
      <c r="G80" s="3"/>
      <c r="H80" s="3"/>
    </row>
    <row r="81" spans="6:8" x14ac:dyDescent="0.25">
      <c r="F81" s="3"/>
      <c r="G81" s="3"/>
      <c r="H81" s="3"/>
    </row>
    <row r="82" spans="6:8" x14ac:dyDescent="0.25">
      <c r="F82" s="3"/>
      <c r="G82" s="3"/>
      <c r="H82" s="3"/>
    </row>
    <row r="83" spans="6:8" x14ac:dyDescent="0.25">
      <c r="F83" s="3"/>
      <c r="G83" s="3"/>
      <c r="H83" s="3"/>
    </row>
    <row r="84" spans="6:8" x14ac:dyDescent="0.25">
      <c r="F84" s="3"/>
      <c r="G84" s="3"/>
      <c r="H84" s="3"/>
    </row>
    <row r="85" spans="6:8" x14ac:dyDescent="0.25">
      <c r="F85" s="3"/>
      <c r="G85" s="3"/>
      <c r="H85" s="3"/>
    </row>
    <row r="86" spans="6:8" x14ac:dyDescent="0.25">
      <c r="F86" s="3"/>
      <c r="G86" s="3"/>
      <c r="H86" s="3"/>
    </row>
    <row r="87" spans="6:8" x14ac:dyDescent="0.25">
      <c r="F87" s="3"/>
      <c r="G87" s="3"/>
      <c r="H87" s="3"/>
    </row>
    <row r="88" spans="6:8" x14ac:dyDescent="0.25">
      <c r="F88" s="3"/>
      <c r="G88" s="3"/>
      <c r="H88" s="3"/>
    </row>
    <row r="89" spans="6:8" x14ac:dyDescent="0.25">
      <c r="F89" s="3"/>
      <c r="G89" s="3"/>
      <c r="H89" s="3"/>
    </row>
    <row r="90" spans="6:8" x14ac:dyDescent="0.25">
      <c r="F90" s="3"/>
      <c r="G90" s="3"/>
      <c r="H90" s="3"/>
    </row>
    <row r="91" spans="6:8" x14ac:dyDescent="0.25">
      <c r="F91" s="3"/>
      <c r="G91" s="3"/>
      <c r="H91" s="3"/>
    </row>
    <row r="92" spans="6:8" x14ac:dyDescent="0.25">
      <c r="F92" s="3"/>
      <c r="G92" s="3"/>
      <c r="H92" s="3"/>
    </row>
    <row r="93" spans="6:8" x14ac:dyDescent="0.25">
      <c r="F93" s="3"/>
      <c r="G93" s="3"/>
      <c r="H93" s="3"/>
    </row>
    <row r="94" spans="6:8" x14ac:dyDescent="0.25">
      <c r="F94" s="3"/>
      <c r="G94" s="3"/>
      <c r="H94" s="3"/>
    </row>
    <row r="95" spans="6:8" x14ac:dyDescent="0.25">
      <c r="F95" s="3"/>
      <c r="G95" s="3"/>
      <c r="H95" s="3"/>
    </row>
    <row r="96" spans="6:8" x14ac:dyDescent="0.25">
      <c r="F96" s="3"/>
      <c r="G96" s="3"/>
      <c r="H96" s="3"/>
    </row>
    <row r="97" spans="6:8" x14ac:dyDescent="0.25">
      <c r="F97" s="3"/>
      <c r="G97" s="3"/>
      <c r="H97" s="3"/>
    </row>
    <row r="98" spans="6:8" x14ac:dyDescent="0.25">
      <c r="F98" s="3"/>
      <c r="G98" s="3"/>
      <c r="H98" s="3"/>
    </row>
    <row r="99" spans="6:8" x14ac:dyDescent="0.25">
      <c r="F99" s="3"/>
      <c r="G99" s="3"/>
      <c r="H99" s="3"/>
    </row>
    <row r="100" spans="6:8" x14ac:dyDescent="0.25">
      <c r="F100" s="3"/>
      <c r="G100" s="3"/>
      <c r="H100" s="3"/>
    </row>
    <row r="101" spans="6:8" x14ac:dyDescent="0.25">
      <c r="F101" s="3"/>
      <c r="G101" s="3"/>
      <c r="H101" s="3"/>
    </row>
    <row r="102" spans="6:8" x14ac:dyDescent="0.25">
      <c r="F102" s="3"/>
      <c r="G102" s="3"/>
      <c r="H102" s="3"/>
    </row>
    <row r="103" spans="6:8" x14ac:dyDescent="0.25">
      <c r="F103" s="3"/>
      <c r="G103" s="3"/>
      <c r="H103" s="3"/>
    </row>
    <row r="104" spans="6:8" x14ac:dyDescent="0.25">
      <c r="F104" s="3"/>
      <c r="G104" s="3"/>
      <c r="H104" s="3"/>
    </row>
    <row r="105" spans="6:8" x14ac:dyDescent="0.25">
      <c r="F105" s="3"/>
      <c r="G105" s="3"/>
      <c r="H105" s="3"/>
    </row>
    <row r="106" spans="6:8" x14ac:dyDescent="0.25">
      <c r="F106" s="3"/>
      <c r="G106" s="3"/>
      <c r="H106" s="3"/>
    </row>
    <row r="107" spans="6:8" x14ac:dyDescent="0.25">
      <c r="F107" s="3"/>
      <c r="G107" s="3"/>
      <c r="H107" s="3"/>
    </row>
    <row r="108" spans="6:8" x14ac:dyDescent="0.25">
      <c r="F108" s="3"/>
      <c r="G108" s="3"/>
      <c r="H108" s="3"/>
    </row>
    <row r="109" spans="6:8" x14ac:dyDescent="0.25">
      <c r="F109" s="3"/>
      <c r="G109" s="3"/>
      <c r="H109" s="3"/>
    </row>
    <row r="110" spans="6:8" x14ac:dyDescent="0.25">
      <c r="F110" s="3"/>
      <c r="G110" s="3"/>
      <c r="H110" s="3"/>
    </row>
    <row r="111" spans="6:8" x14ac:dyDescent="0.25">
      <c r="F111" s="3"/>
      <c r="G111" s="3"/>
      <c r="H111" s="3"/>
    </row>
    <row r="112" spans="6:8" x14ac:dyDescent="0.25">
      <c r="F112" s="3"/>
      <c r="G112" s="3"/>
      <c r="H112" s="3"/>
    </row>
    <row r="113" spans="6:8" x14ac:dyDescent="0.25">
      <c r="F113" s="3"/>
      <c r="G113" s="3"/>
      <c r="H113" s="3"/>
    </row>
    <row r="114" spans="6:8" x14ac:dyDescent="0.25">
      <c r="F114" s="3"/>
      <c r="G114" s="3"/>
      <c r="H114" s="3"/>
    </row>
    <row r="115" spans="6:8" x14ac:dyDescent="0.25">
      <c r="F115" s="3"/>
      <c r="G115" s="3"/>
      <c r="H115" s="3"/>
    </row>
    <row r="116" spans="6:8" x14ac:dyDescent="0.25">
      <c r="F116" s="3"/>
      <c r="G116" s="3"/>
      <c r="H116" s="3"/>
    </row>
    <row r="117" spans="6:8" x14ac:dyDescent="0.25">
      <c r="F117" s="3"/>
      <c r="G117" s="3"/>
      <c r="H117" s="3"/>
    </row>
    <row r="118" spans="6:8" x14ac:dyDescent="0.25">
      <c r="F118" s="3"/>
      <c r="G118" s="3"/>
      <c r="H118" s="3"/>
    </row>
    <row r="119" spans="6:8" x14ac:dyDescent="0.25">
      <c r="F119" s="3"/>
      <c r="G119" s="3"/>
      <c r="H119" s="3"/>
    </row>
    <row r="120" spans="6:8" x14ac:dyDescent="0.25">
      <c r="F120" s="3"/>
      <c r="G120" s="3"/>
      <c r="H120" s="3"/>
    </row>
    <row r="121" spans="6:8" x14ac:dyDescent="0.25">
      <c r="F121" s="3"/>
      <c r="G121" s="3"/>
      <c r="H121" s="3"/>
    </row>
    <row r="122" spans="6:8" x14ac:dyDescent="0.25">
      <c r="F122" s="3"/>
      <c r="G122" s="3"/>
      <c r="H122" s="3"/>
    </row>
    <row r="123" spans="6:8" x14ac:dyDescent="0.25">
      <c r="F123" s="3"/>
      <c r="G123" s="3"/>
      <c r="H123" s="3"/>
    </row>
    <row r="124" spans="6:8" x14ac:dyDescent="0.25">
      <c r="F124" s="3"/>
      <c r="G124" s="3"/>
      <c r="H124" s="3"/>
    </row>
    <row r="125" spans="6:8" x14ac:dyDescent="0.25">
      <c r="F125" s="3"/>
      <c r="G125" s="3"/>
      <c r="H125" s="3"/>
    </row>
    <row r="126" spans="6:8" x14ac:dyDescent="0.25">
      <c r="F126" s="3"/>
      <c r="G126" s="3"/>
      <c r="H126" s="3"/>
    </row>
    <row r="127" spans="6:8" x14ac:dyDescent="0.25">
      <c r="F127" s="3"/>
      <c r="G127" s="3"/>
      <c r="H127" s="3"/>
    </row>
    <row r="128" spans="6:8" x14ac:dyDescent="0.25">
      <c r="F128" s="3"/>
      <c r="G128" s="3"/>
      <c r="H128" s="3"/>
    </row>
    <row r="129" spans="6:8" x14ac:dyDescent="0.25">
      <c r="F129" s="3"/>
      <c r="G129" s="3"/>
      <c r="H129" s="3"/>
    </row>
    <row r="130" spans="6:8" x14ac:dyDescent="0.25">
      <c r="F130" s="3"/>
      <c r="G130" s="3"/>
      <c r="H130" s="3"/>
    </row>
    <row r="131" spans="6:8" x14ac:dyDescent="0.25">
      <c r="F131" s="3"/>
      <c r="G131" s="3"/>
      <c r="H131" s="3"/>
    </row>
    <row r="132" spans="6:8" x14ac:dyDescent="0.25">
      <c r="F132" s="3"/>
      <c r="G132" s="3"/>
      <c r="H132" s="3"/>
    </row>
    <row r="133" spans="6:8" x14ac:dyDescent="0.25">
      <c r="F133" s="3"/>
      <c r="G133" s="3"/>
      <c r="H133" s="3"/>
    </row>
    <row r="134" spans="6:8" x14ac:dyDescent="0.25">
      <c r="F134" s="3"/>
      <c r="G134" s="3"/>
      <c r="H134" s="3"/>
    </row>
    <row r="135" spans="6:8" x14ac:dyDescent="0.25">
      <c r="F135" s="3"/>
      <c r="G135" s="3"/>
      <c r="H135" s="3"/>
    </row>
    <row r="136" spans="6:8" x14ac:dyDescent="0.25">
      <c r="F136" s="3"/>
      <c r="G136" s="3"/>
      <c r="H136" s="3"/>
    </row>
    <row r="137" spans="6:8" x14ac:dyDescent="0.25">
      <c r="F137" s="3"/>
      <c r="G137" s="3"/>
      <c r="H137" s="3"/>
    </row>
    <row r="138" spans="6:8" x14ac:dyDescent="0.25">
      <c r="F138" s="3"/>
      <c r="G138" s="3"/>
      <c r="H138" s="3"/>
    </row>
    <row r="139" spans="6:8" x14ac:dyDescent="0.25">
      <c r="F139" s="3"/>
      <c r="G139" s="3"/>
      <c r="H139" s="3"/>
    </row>
    <row r="140" spans="6:8" x14ac:dyDescent="0.25">
      <c r="F140" s="3"/>
      <c r="G140" s="3"/>
      <c r="H140" s="3"/>
    </row>
    <row r="141" spans="6:8" x14ac:dyDescent="0.25">
      <c r="F141" s="3"/>
      <c r="G141" s="3"/>
      <c r="H141" s="3"/>
    </row>
    <row r="142" spans="6:8" x14ac:dyDescent="0.25">
      <c r="F142" s="3"/>
      <c r="G142" s="3"/>
      <c r="H142" s="3"/>
    </row>
    <row r="143" spans="6:8" x14ac:dyDescent="0.25">
      <c r="F143" s="3"/>
      <c r="G143" s="3"/>
      <c r="H143" s="3"/>
    </row>
    <row r="144" spans="6:8" x14ac:dyDescent="0.25">
      <c r="F144" s="3"/>
      <c r="G144" s="3"/>
      <c r="H144" s="3"/>
    </row>
    <row r="145" spans="6:8" x14ac:dyDescent="0.25">
      <c r="F145" s="3"/>
      <c r="G145" s="3"/>
      <c r="H145" s="3"/>
    </row>
    <row r="146" spans="6:8" x14ac:dyDescent="0.25">
      <c r="F146" s="3"/>
      <c r="G146" s="3"/>
      <c r="H146" s="3"/>
    </row>
    <row r="147" spans="6:8" x14ac:dyDescent="0.25">
      <c r="F147" s="3"/>
      <c r="G147" s="3"/>
      <c r="H147" s="3"/>
    </row>
    <row r="148" spans="6:8" x14ac:dyDescent="0.25">
      <c r="F148" s="3"/>
      <c r="G148" s="3"/>
      <c r="H148" s="3"/>
    </row>
    <row r="149" spans="6:8" x14ac:dyDescent="0.25">
      <c r="F149" s="3"/>
      <c r="G149" s="3"/>
      <c r="H149" s="3"/>
    </row>
    <row r="150" spans="6:8" x14ac:dyDescent="0.25">
      <c r="F150" s="3"/>
      <c r="G150" s="3"/>
      <c r="H150" s="3"/>
    </row>
    <row r="151" spans="6:8" x14ac:dyDescent="0.25">
      <c r="F151" s="3"/>
      <c r="G151" s="3"/>
      <c r="H151" s="3"/>
    </row>
    <row r="152" spans="6:8" x14ac:dyDescent="0.25">
      <c r="F152" s="3"/>
      <c r="G152" s="3"/>
      <c r="H152" s="3"/>
    </row>
    <row r="153" spans="6:8" x14ac:dyDescent="0.25">
      <c r="F153" s="3"/>
      <c r="G153" s="3"/>
      <c r="H153" s="3"/>
    </row>
    <row r="154" spans="6:8" x14ac:dyDescent="0.25">
      <c r="F154" s="3"/>
      <c r="G154" s="3"/>
      <c r="H154" s="3"/>
    </row>
    <row r="155" spans="6:8" x14ac:dyDescent="0.25">
      <c r="F155" s="3"/>
      <c r="G155" s="3"/>
      <c r="H155" s="3"/>
    </row>
    <row r="156" spans="6:8" x14ac:dyDescent="0.25">
      <c r="F156" s="3"/>
      <c r="G156" s="3"/>
      <c r="H156" s="3"/>
    </row>
    <row r="157" spans="6:8" x14ac:dyDescent="0.25">
      <c r="F157" s="3"/>
      <c r="G157" s="3"/>
      <c r="H157" s="3"/>
    </row>
    <row r="158" spans="6:8" x14ac:dyDescent="0.25">
      <c r="F158" s="3"/>
      <c r="G158" s="3"/>
      <c r="H158" s="3"/>
    </row>
    <row r="159" spans="6:8" x14ac:dyDescent="0.25">
      <c r="F159" s="3"/>
      <c r="G159" s="3"/>
      <c r="H159" s="3"/>
    </row>
    <row r="160" spans="6:8" x14ac:dyDescent="0.25">
      <c r="F160" s="3"/>
      <c r="G160" s="3"/>
      <c r="H160" s="3"/>
    </row>
    <row r="161" spans="6:8" x14ac:dyDescent="0.25">
      <c r="F161" s="3"/>
      <c r="G161" s="3"/>
      <c r="H161" s="3"/>
    </row>
    <row r="162" spans="6:8" x14ac:dyDescent="0.25">
      <c r="F162" s="3"/>
      <c r="G162" s="3"/>
      <c r="H162" s="3"/>
    </row>
    <row r="163" spans="6:8" x14ac:dyDescent="0.25">
      <c r="F163" s="3"/>
      <c r="G163" s="3"/>
      <c r="H163" s="3"/>
    </row>
    <row r="164" spans="6:8" x14ac:dyDescent="0.25">
      <c r="F164" s="3"/>
      <c r="G164" s="3"/>
      <c r="H164" s="3"/>
    </row>
    <row r="165" spans="6:8" x14ac:dyDescent="0.25">
      <c r="F165" s="3"/>
      <c r="G165" s="3"/>
      <c r="H165" s="3"/>
    </row>
    <row r="166" spans="6:8" x14ac:dyDescent="0.25">
      <c r="F166" s="3"/>
      <c r="G166" s="3"/>
      <c r="H166" s="3"/>
    </row>
    <row r="167" spans="6:8" x14ac:dyDescent="0.25">
      <c r="F167" s="3"/>
      <c r="G167" s="3"/>
      <c r="H167" s="3"/>
    </row>
    <row r="168" spans="6:8" x14ac:dyDescent="0.25">
      <c r="F168" s="3"/>
      <c r="G168" s="3"/>
      <c r="H168" s="3"/>
    </row>
    <row r="169" spans="6:8" x14ac:dyDescent="0.25">
      <c r="F169" s="3"/>
      <c r="G169" s="3"/>
      <c r="H169" s="3"/>
    </row>
    <row r="170" spans="6:8" x14ac:dyDescent="0.25">
      <c r="F170" s="3"/>
      <c r="G170" s="3"/>
      <c r="H170" s="3"/>
    </row>
    <row r="171" spans="6:8" x14ac:dyDescent="0.25">
      <c r="F171" s="3"/>
      <c r="G171" s="3"/>
      <c r="H171" s="3"/>
    </row>
    <row r="172" spans="6:8" x14ac:dyDescent="0.25">
      <c r="F172" s="3"/>
      <c r="G172" s="3"/>
      <c r="H172" s="3"/>
    </row>
    <row r="173" spans="6:8" x14ac:dyDescent="0.25">
      <c r="F173" s="3"/>
      <c r="G173" s="3"/>
      <c r="H173" s="3"/>
    </row>
    <row r="174" spans="6:8" x14ac:dyDescent="0.25">
      <c r="F174" s="3"/>
      <c r="G174" s="3"/>
      <c r="H174" s="3"/>
    </row>
    <row r="175" spans="6:8" x14ac:dyDescent="0.25">
      <c r="F175" s="3"/>
      <c r="G175" s="3"/>
      <c r="H175" s="3"/>
    </row>
    <row r="176" spans="6:8" x14ac:dyDescent="0.25">
      <c r="F176" s="3"/>
      <c r="G176" s="3"/>
      <c r="H176" s="3"/>
    </row>
    <row r="177" spans="6:8" x14ac:dyDescent="0.25">
      <c r="F177" s="3"/>
      <c r="G177" s="3"/>
      <c r="H177" s="3"/>
    </row>
    <row r="178" spans="6:8" x14ac:dyDescent="0.25">
      <c r="F178" s="3"/>
      <c r="G178" s="3"/>
      <c r="H178" s="3"/>
    </row>
    <row r="179" spans="6:8" x14ac:dyDescent="0.25">
      <c r="F179" s="3"/>
      <c r="G179" s="3"/>
      <c r="H179" s="3"/>
    </row>
    <row r="180" spans="6:8" x14ac:dyDescent="0.25">
      <c r="F180" s="3"/>
      <c r="G180" s="3"/>
      <c r="H180" s="3"/>
    </row>
    <row r="181" spans="6:8" x14ac:dyDescent="0.25">
      <c r="F181" s="3"/>
      <c r="G181" s="3"/>
      <c r="H181" s="3"/>
    </row>
    <row r="182" spans="6:8" x14ac:dyDescent="0.25">
      <c r="F182" s="3"/>
      <c r="G182" s="3"/>
      <c r="H182" s="3"/>
    </row>
    <row r="183" spans="6:8" x14ac:dyDescent="0.25">
      <c r="F183" s="3"/>
      <c r="G183" s="3"/>
      <c r="H183" s="3"/>
    </row>
    <row r="184" spans="6:8" x14ac:dyDescent="0.25">
      <c r="F184" s="3"/>
      <c r="G184" s="3"/>
      <c r="H184" s="3"/>
    </row>
    <row r="185" spans="6:8" x14ac:dyDescent="0.25">
      <c r="F185" s="3"/>
      <c r="G185" s="3"/>
      <c r="H185" s="3"/>
    </row>
    <row r="186" spans="6:8" x14ac:dyDescent="0.25">
      <c r="F186" s="3"/>
      <c r="G186" s="3"/>
      <c r="H186" s="3"/>
    </row>
    <row r="187" spans="6:8" x14ac:dyDescent="0.25">
      <c r="F187" s="3"/>
      <c r="G187" s="3"/>
      <c r="H187" s="3"/>
    </row>
    <row r="188" spans="6:8" x14ac:dyDescent="0.25">
      <c r="F188" s="3"/>
      <c r="G188" s="3"/>
      <c r="H188" s="3"/>
    </row>
    <row r="189" spans="6:8" x14ac:dyDescent="0.25">
      <c r="F189" s="3"/>
      <c r="G189" s="3"/>
      <c r="H189" s="3"/>
    </row>
    <row r="190" spans="6:8" x14ac:dyDescent="0.25">
      <c r="F190" s="3"/>
      <c r="G190" s="3"/>
      <c r="H190" s="3"/>
    </row>
    <row r="191" spans="6:8" x14ac:dyDescent="0.25">
      <c r="F191" s="3"/>
      <c r="G191" s="3"/>
      <c r="H191" s="3"/>
    </row>
    <row r="192" spans="6:8" x14ac:dyDescent="0.25">
      <c r="F192" s="3"/>
      <c r="G192" s="3"/>
      <c r="H192" s="3"/>
    </row>
    <row r="193" spans="6:8" x14ac:dyDescent="0.25">
      <c r="F193" s="3"/>
      <c r="G193" s="3"/>
      <c r="H193" s="3"/>
    </row>
    <row r="194" spans="6:8" x14ac:dyDescent="0.25">
      <c r="F194" s="3"/>
      <c r="G194" s="3"/>
      <c r="H194" s="3"/>
    </row>
    <row r="195" spans="6:8" x14ac:dyDescent="0.25">
      <c r="F195" s="3"/>
      <c r="G195" s="3"/>
      <c r="H195" s="3"/>
    </row>
    <row r="196" spans="6:8" x14ac:dyDescent="0.25">
      <c r="F196" s="3"/>
      <c r="G196" s="3"/>
      <c r="H196" s="3"/>
    </row>
    <row r="197" spans="6:8" x14ac:dyDescent="0.25">
      <c r="F197" s="3"/>
      <c r="G197" s="3"/>
      <c r="H197" s="3"/>
    </row>
    <row r="198" spans="6:8" x14ac:dyDescent="0.25">
      <c r="F198" s="3"/>
      <c r="G198" s="3"/>
      <c r="H198" s="3"/>
    </row>
    <row r="199" spans="6:8" x14ac:dyDescent="0.25">
      <c r="F199" s="3"/>
      <c r="G199" s="3"/>
      <c r="H199" s="3"/>
    </row>
    <row r="200" spans="6:8" x14ac:dyDescent="0.25">
      <c r="F200" s="3"/>
      <c r="G200" s="3"/>
      <c r="H200" s="3"/>
    </row>
    <row r="201" spans="6:8" x14ac:dyDescent="0.25">
      <c r="F201" s="3"/>
      <c r="G201" s="3"/>
      <c r="H201" s="3"/>
    </row>
    <row r="202" spans="6:8" x14ac:dyDescent="0.25">
      <c r="F202" s="3"/>
      <c r="G202" s="3"/>
      <c r="H202" s="3"/>
    </row>
    <row r="203" spans="6:8" x14ac:dyDescent="0.25">
      <c r="F203" s="3"/>
      <c r="G203" s="3"/>
      <c r="H203" s="3"/>
    </row>
    <row r="204" spans="6:8" x14ac:dyDescent="0.25">
      <c r="F204" s="3"/>
      <c r="G204" s="3"/>
      <c r="H204" s="3"/>
    </row>
    <row r="205" spans="6:8" x14ac:dyDescent="0.25">
      <c r="F205" s="3"/>
      <c r="G205" s="3"/>
      <c r="H205" s="3"/>
    </row>
    <row r="206" spans="6:8" x14ac:dyDescent="0.25">
      <c r="F206" s="3"/>
      <c r="G206" s="3"/>
      <c r="H206" s="3"/>
    </row>
    <row r="207" spans="6:8" x14ac:dyDescent="0.25">
      <c r="F207" s="3"/>
      <c r="G207" s="3"/>
      <c r="H207" s="3"/>
    </row>
    <row r="208" spans="6:8" x14ac:dyDescent="0.25">
      <c r="F208" s="3"/>
      <c r="G208" s="3"/>
      <c r="H208" s="3"/>
    </row>
    <row r="209" spans="6:8" x14ac:dyDescent="0.25">
      <c r="F209" s="3"/>
      <c r="G209" s="3"/>
      <c r="H209" s="3"/>
    </row>
    <row r="210" spans="6:8" x14ac:dyDescent="0.25">
      <c r="F210" s="3"/>
      <c r="G210" s="3"/>
      <c r="H210" s="3"/>
    </row>
    <row r="211" spans="6:8" x14ac:dyDescent="0.25">
      <c r="F211" s="3"/>
      <c r="G211" s="3"/>
      <c r="H211" s="3"/>
    </row>
    <row r="212" spans="6:8" x14ac:dyDescent="0.25">
      <c r="F212" s="3"/>
      <c r="G212" s="3"/>
      <c r="H212" s="3"/>
    </row>
    <row r="213" spans="6:8" x14ac:dyDescent="0.25">
      <c r="F213" s="3"/>
      <c r="G213" s="3"/>
      <c r="H213" s="3"/>
    </row>
    <row r="214" spans="6:8" x14ac:dyDescent="0.25">
      <c r="F214" s="3"/>
      <c r="G214" s="3"/>
      <c r="H214" s="3"/>
    </row>
    <row r="215" spans="6:8" x14ac:dyDescent="0.25">
      <c r="F215" s="3"/>
      <c r="G215" s="3"/>
      <c r="H215" s="3"/>
    </row>
    <row r="216" spans="6:8" x14ac:dyDescent="0.25">
      <c r="F216" s="3"/>
      <c r="G216" s="3"/>
      <c r="H216" s="3"/>
    </row>
    <row r="217" spans="6:8" x14ac:dyDescent="0.25">
      <c r="F217" s="3"/>
      <c r="G217" s="3"/>
      <c r="H217" s="3"/>
    </row>
    <row r="218" spans="6:8" x14ac:dyDescent="0.25">
      <c r="F218" s="3"/>
      <c r="G218" s="3"/>
      <c r="H218" s="3"/>
    </row>
    <row r="219" spans="6:8" x14ac:dyDescent="0.25">
      <c r="F219" s="3"/>
      <c r="G219" s="3"/>
      <c r="H219" s="3"/>
    </row>
    <row r="220" spans="6:8" x14ac:dyDescent="0.25">
      <c r="F220" s="3"/>
      <c r="G220" s="3"/>
      <c r="H220" s="3"/>
    </row>
    <row r="221" spans="6:8" x14ac:dyDescent="0.25">
      <c r="F221" s="3"/>
      <c r="G221" s="3"/>
      <c r="H221" s="3"/>
    </row>
    <row r="222" spans="6:8" x14ac:dyDescent="0.25">
      <c r="F222" s="3"/>
      <c r="G222" s="3"/>
      <c r="H222" s="3"/>
    </row>
    <row r="223" spans="6:8" x14ac:dyDescent="0.25">
      <c r="F223" s="3"/>
      <c r="G223" s="3"/>
      <c r="H223" s="3"/>
    </row>
    <row r="224" spans="6:8" x14ac:dyDescent="0.25">
      <c r="F224" s="3"/>
      <c r="G224" s="3"/>
      <c r="H224" s="3"/>
    </row>
    <row r="225" spans="6:8" x14ac:dyDescent="0.25">
      <c r="F225" s="3"/>
      <c r="G225" s="3"/>
      <c r="H225" s="3"/>
    </row>
    <row r="226" spans="6:8" x14ac:dyDescent="0.25">
      <c r="F226" s="3"/>
      <c r="G226" s="3"/>
      <c r="H226" s="3"/>
    </row>
    <row r="227" spans="6:8" x14ac:dyDescent="0.25">
      <c r="F227" s="3"/>
      <c r="G227" s="3"/>
      <c r="H227" s="3"/>
    </row>
    <row r="228" spans="6:8" x14ac:dyDescent="0.25">
      <c r="F228" s="3"/>
      <c r="G228" s="3"/>
      <c r="H228" s="3"/>
    </row>
    <row r="229" spans="6:8" x14ac:dyDescent="0.25">
      <c r="F229" s="3"/>
      <c r="G229" s="3"/>
      <c r="H229" s="3"/>
    </row>
    <row r="230" spans="6:8" x14ac:dyDescent="0.25">
      <c r="F230" s="3"/>
      <c r="G230" s="3"/>
      <c r="H230" s="3"/>
    </row>
    <row r="231" spans="6:8" x14ac:dyDescent="0.25">
      <c r="F231" s="3"/>
      <c r="G231" s="3"/>
      <c r="H231" s="3"/>
    </row>
    <row r="232" spans="6:8" x14ac:dyDescent="0.25">
      <c r="F232" s="3"/>
      <c r="G232" s="3"/>
      <c r="H232" s="3"/>
    </row>
    <row r="233" spans="6:8" x14ac:dyDescent="0.25">
      <c r="F233" s="3"/>
      <c r="G233" s="3"/>
      <c r="H233" s="3"/>
    </row>
    <row r="234" spans="6:8" x14ac:dyDescent="0.25">
      <c r="F234" s="3"/>
      <c r="G234" s="3"/>
      <c r="H234" s="3"/>
    </row>
    <row r="235" spans="6:8" x14ac:dyDescent="0.25">
      <c r="F235" s="3"/>
      <c r="G235" s="3"/>
      <c r="H235" s="3"/>
    </row>
    <row r="236" spans="6:8" x14ac:dyDescent="0.25">
      <c r="F236" s="3"/>
      <c r="G236" s="3"/>
      <c r="H236" s="3"/>
    </row>
    <row r="237" spans="6:8" x14ac:dyDescent="0.25">
      <c r="F237" s="3"/>
      <c r="G237" s="3"/>
      <c r="H237" s="3"/>
    </row>
    <row r="238" spans="6:8" x14ac:dyDescent="0.25">
      <c r="F238" s="3"/>
      <c r="G238" s="3"/>
      <c r="H238" s="3"/>
    </row>
    <row r="239" spans="6:8" x14ac:dyDescent="0.25">
      <c r="F239" s="3"/>
      <c r="G239" s="3"/>
      <c r="H239" s="3"/>
    </row>
    <row r="240" spans="6:8" x14ac:dyDescent="0.25">
      <c r="F240" s="3"/>
      <c r="G240" s="3"/>
      <c r="H240" s="3"/>
    </row>
    <row r="241" spans="6:8" x14ac:dyDescent="0.25">
      <c r="F241" s="3"/>
      <c r="G241" s="3"/>
      <c r="H241" s="3"/>
    </row>
    <row r="242" spans="6:8" x14ac:dyDescent="0.25">
      <c r="F242" s="3"/>
      <c r="G242" s="3"/>
      <c r="H242" s="3"/>
    </row>
    <row r="243" spans="6:8" x14ac:dyDescent="0.25">
      <c r="F243" s="3"/>
      <c r="G243" s="3"/>
      <c r="H243" s="3"/>
    </row>
    <row r="244" spans="6:8" x14ac:dyDescent="0.25">
      <c r="F244" s="3"/>
      <c r="G244" s="3"/>
      <c r="H244" s="3"/>
    </row>
    <row r="245" spans="6:8" x14ac:dyDescent="0.25">
      <c r="F245" s="3"/>
      <c r="G245" s="3"/>
      <c r="H245" s="3"/>
    </row>
    <row r="246" spans="6:8" x14ac:dyDescent="0.25">
      <c r="F246" s="3"/>
      <c r="G246" s="3"/>
      <c r="H246" s="3"/>
    </row>
    <row r="247" spans="6:8" x14ac:dyDescent="0.25">
      <c r="F247" s="3"/>
      <c r="G247" s="3"/>
      <c r="H247" s="3"/>
    </row>
    <row r="248" spans="6:8" x14ac:dyDescent="0.25">
      <c r="F248" s="3"/>
      <c r="G248" s="3"/>
      <c r="H248" s="3"/>
    </row>
    <row r="249" spans="6:8" x14ac:dyDescent="0.25">
      <c r="F249" s="3"/>
      <c r="G249" s="3"/>
      <c r="H249" s="3"/>
    </row>
    <row r="250" spans="6:8" x14ac:dyDescent="0.25">
      <c r="F250" s="3"/>
      <c r="G250" s="3"/>
      <c r="H250" s="3"/>
    </row>
    <row r="251" spans="6:8" x14ac:dyDescent="0.25">
      <c r="F251" s="3"/>
      <c r="G251" s="3"/>
      <c r="H251" s="3"/>
    </row>
    <row r="252" spans="6:8" x14ac:dyDescent="0.25">
      <c r="F252" s="3"/>
      <c r="G252" s="3"/>
      <c r="H252" s="3"/>
    </row>
    <row r="253" spans="6:8" x14ac:dyDescent="0.25">
      <c r="F253" s="3"/>
      <c r="G253" s="3"/>
      <c r="H253" s="3"/>
    </row>
    <row r="254" spans="6:8" x14ac:dyDescent="0.25">
      <c r="F254" s="3"/>
      <c r="G254" s="3"/>
      <c r="H254" s="3"/>
    </row>
    <row r="255" spans="6:8" x14ac:dyDescent="0.25">
      <c r="F255" s="3"/>
      <c r="G255" s="3"/>
      <c r="H255" s="3"/>
    </row>
    <row r="256" spans="6:8" x14ac:dyDescent="0.25">
      <c r="F256" s="3"/>
      <c r="G256" s="3"/>
      <c r="H256" s="3"/>
    </row>
    <row r="257" spans="6:8" x14ac:dyDescent="0.25">
      <c r="F257" s="3"/>
      <c r="G257" s="3"/>
      <c r="H257" s="3"/>
    </row>
    <row r="258" spans="6:8" x14ac:dyDescent="0.25">
      <c r="F258" s="3"/>
      <c r="G258" s="3"/>
      <c r="H258" s="3"/>
    </row>
    <row r="259" spans="6:8" x14ac:dyDescent="0.25">
      <c r="F259" s="3"/>
      <c r="G259" s="3"/>
      <c r="H259" s="3"/>
    </row>
    <row r="260" spans="6:8" x14ac:dyDescent="0.25">
      <c r="F260" s="3"/>
      <c r="G260" s="3"/>
      <c r="H260" s="3"/>
    </row>
    <row r="261" spans="6:8" x14ac:dyDescent="0.25">
      <c r="F261" s="3"/>
      <c r="G261" s="3"/>
      <c r="H261" s="3"/>
    </row>
    <row r="262" spans="6:8" x14ac:dyDescent="0.25">
      <c r="F262" s="3"/>
      <c r="G262" s="3"/>
      <c r="H262" s="3"/>
    </row>
    <row r="263" spans="6:8" x14ac:dyDescent="0.25">
      <c r="F263" s="3"/>
      <c r="G263" s="3"/>
      <c r="H263" s="3"/>
    </row>
    <row r="264" spans="6:8" x14ac:dyDescent="0.25">
      <c r="F264" s="3"/>
      <c r="G264" s="3"/>
      <c r="H264" s="3"/>
    </row>
    <row r="265" spans="6:8" x14ac:dyDescent="0.25">
      <c r="F265" s="3"/>
      <c r="G265" s="3"/>
      <c r="H265" s="3"/>
    </row>
    <row r="266" spans="6:8" x14ac:dyDescent="0.25">
      <c r="F266" s="3"/>
      <c r="G266" s="3"/>
      <c r="H266" s="3"/>
    </row>
    <row r="267" spans="6:8" x14ac:dyDescent="0.25">
      <c r="F267" s="3"/>
      <c r="G267" s="3"/>
      <c r="H267" s="3"/>
    </row>
    <row r="268" spans="6:8" x14ac:dyDescent="0.25">
      <c r="F268" s="3"/>
      <c r="G268" s="3"/>
      <c r="H268" s="3"/>
    </row>
    <row r="269" spans="6:8" x14ac:dyDescent="0.25">
      <c r="F269" s="3"/>
      <c r="G269" s="3"/>
      <c r="H269" s="3"/>
    </row>
    <row r="270" spans="6:8" x14ac:dyDescent="0.25">
      <c r="F270" s="3"/>
      <c r="G270" s="3"/>
      <c r="H270" s="3"/>
    </row>
    <row r="271" spans="6:8" x14ac:dyDescent="0.25">
      <c r="F271" s="3"/>
      <c r="G271" s="3"/>
      <c r="H271" s="3"/>
    </row>
    <row r="272" spans="6:8" x14ac:dyDescent="0.25">
      <c r="F272" s="3"/>
      <c r="G272" s="3"/>
      <c r="H272" s="3"/>
    </row>
    <row r="273" spans="6:8" x14ac:dyDescent="0.25">
      <c r="F273" s="3"/>
      <c r="G273" s="3"/>
      <c r="H273" s="3"/>
    </row>
    <row r="274" spans="6:8" x14ac:dyDescent="0.25">
      <c r="F274" s="3"/>
      <c r="G274" s="3"/>
      <c r="H274" s="3"/>
    </row>
    <row r="275" spans="6:8" x14ac:dyDescent="0.25">
      <c r="F275" s="3"/>
      <c r="G275" s="3"/>
      <c r="H275" s="3"/>
    </row>
    <row r="276" spans="6:8" x14ac:dyDescent="0.25">
      <c r="F276" s="3"/>
      <c r="G276" s="3"/>
      <c r="H276" s="3"/>
    </row>
    <row r="277" spans="6:8" x14ac:dyDescent="0.25">
      <c r="F277" s="3"/>
      <c r="G277" s="3"/>
      <c r="H277" s="3"/>
    </row>
    <row r="278" spans="6:8" x14ac:dyDescent="0.25">
      <c r="F278" s="3"/>
      <c r="G278" s="3"/>
      <c r="H278" s="3"/>
    </row>
    <row r="279" spans="6:8" x14ac:dyDescent="0.25">
      <c r="F279" s="3"/>
      <c r="G279" s="3"/>
      <c r="H279" s="3"/>
    </row>
    <row r="280" spans="6:8" x14ac:dyDescent="0.25">
      <c r="F280" s="3"/>
      <c r="G280" s="3"/>
      <c r="H280" s="3"/>
    </row>
    <row r="281" spans="6:8" x14ac:dyDescent="0.25">
      <c r="F281" s="3"/>
      <c r="G281" s="3"/>
      <c r="H281" s="3"/>
    </row>
    <row r="282" spans="6:8" x14ac:dyDescent="0.25">
      <c r="F282" s="3"/>
      <c r="G282" s="3"/>
      <c r="H282" s="3"/>
    </row>
    <row r="283" spans="6:8" x14ac:dyDescent="0.25">
      <c r="F283" s="3"/>
      <c r="G283" s="3"/>
      <c r="H283" s="3"/>
    </row>
    <row r="284" spans="6:8" x14ac:dyDescent="0.25">
      <c r="F284" s="3"/>
      <c r="G284" s="3"/>
      <c r="H284" s="3"/>
    </row>
    <row r="285" spans="6:8" x14ac:dyDescent="0.25">
      <c r="F285" s="3"/>
      <c r="G285" s="3"/>
      <c r="H285" s="3"/>
    </row>
    <row r="286" spans="6:8" x14ac:dyDescent="0.25">
      <c r="F286" s="3"/>
      <c r="G286" s="3"/>
      <c r="H286" s="3"/>
    </row>
    <row r="287" spans="6:8" x14ac:dyDescent="0.25">
      <c r="F287" s="3"/>
      <c r="G287" s="3"/>
      <c r="H287" s="3"/>
    </row>
    <row r="288" spans="6:8" x14ac:dyDescent="0.25">
      <c r="F288" s="3"/>
      <c r="G288" s="3"/>
      <c r="H288" s="3"/>
    </row>
    <row r="289" spans="6:8" x14ac:dyDescent="0.25">
      <c r="F289" s="3"/>
      <c r="G289" s="3"/>
      <c r="H289" s="3"/>
    </row>
    <row r="290" spans="6:8" x14ac:dyDescent="0.25">
      <c r="F290" s="3"/>
      <c r="G290" s="3"/>
      <c r="H290" s="3"/>
    </row>
    <row r="291" spans="6:8" x14ac:dyDescent="0.25">
      <c r="F291" s="3"/>
      <c r="G291" s="3"/>
      <c r="H291" s="3"/>
    </row>
    <row r="292" spans="6:8" x14ac:dyDescent="0.25">
      <c r="F292" s="3"/>
      <c r="G292" s="3"/>
      <c r="H292" s="3"/>
    </row>
    <row r="293" spans="6:8" x14ac:dyDescent="0.25">
      <c r="F293" s="3"/>
      <c r="G293" s="3"/>
      <c r="H293" s="3"/>
    </row>
    <row r="294" spans="6:8" x14ac:dyDescent="0.25">
      <c r="F294" s="3"/>
      <c r="G294" s="3"/>
      <c r="H294" s="3"/>
    </row>
    <row r="295" spans="6:8" x14ac:dyDescent="0.25">
      <c r="F295" s="3"/>
      <c r="G295" s="3"/>
      <c r="H295" s="3"/>
    </row>
    <row r="296" spans="6:8" x14ac:dyDescent="0.25">
      <c r="F296" s="3"/>
      <c r="G296" s="3"/>
      <c r="H296" s="3"/>
    </row>
    <row r="297" spans="6:8" x14ac:dyDescent="0.25">
      <c r="F297" s="3"/>
      <c r="G297" s="3"/>
      <c r="H297" s="3"/>
    </row>
    <row r="298" spans="6:8" x14ac:dyDescent="0.25">
      <c r="F298" s="3"/>
      <c r="G298" s="3"/>
      <c r="H298" s="3"/>
    </row>
    <row r="299" spans="6:8" x14ac:dyDescent="0.25">
      <c r="F299" s="3"/>
      <c r="G299" s="3"/>
      <c r="H299" s="3"/>
    </row>
    <row r="300" spans="6:8" x14ac:dyDescent="0.25">
      <c r="F300" s="3"/>
      <c r="G300" s="3"/>
      <c r="H300" s="3"/>
    </row>
    <row r="301" spans="6:8" x14ac:dyDescent="0.25">
      <c r="F301" s="3"/>
      <c r="G301" s="3"/>
      <c r="H301" s="3"/>
    </row>
    <row r="302" spans="6:8" x14ac:dyDescent="0.25">
      <c r="F302" s="3"/>
      <c r="G302" s="3"/>
      <c r="H302" s="3"/>
    </row>
    <row r="303" spans="6:8" x14ac:dyDescent="0.25">
      <c r="F303" s="3"/>
      <c r="G303" s="3"/>
      <c r="H303" s="3"/>
    </row>
    <row r="304" spans="6:8" x14ac:dyDescent="0.25">
      <c r="F304" s="3"/>
      <c r="G304" s="3"/>
      <c r="H304" s="3"/>
    </row>
    <row r="305" spans="6:8" x14ac:dyDescent="0.25">
      <c r="F305" s="3"/>
      <c r="G305" s="3"/>
      <c r="H305" s="3"/>
    </row>
    <row r="306" spans="6:8" x14ac:dyDescent="0.25">
      <c r="F306" s="3"/>
      <c r="G306" s="3"/>
      <c r="H306" s="3"/>
    </row>
    <row r="307" spans="6:8" x14ac:dyDescent="0.25">
      <c r="F307" s="3"/>
      <c r="G307" s="3"/>
      <c r="H307" s="3"/>
    </row>
    <row r="308" spans="6:8" x14ac:dyDescent="0.25">
      <c r="F308" s="3"/>
      <c r="G308" s="3"/>
      <c r="H308" s="3"/>
    </row>
    <row r="309" spans="6:8" x14ac:dyDescent="0.25">
      <c r="F309" s="3"/>
      <c r="G309" s="3"/>
      <c r="H309" s="3"/>
    </row>
    <row r="310" spans="6:8" x14ac:dyDescent="0.25">
      <c r="F310" s="3"/>
      <c r="G310" s="3"/>
      <c r="H310" s="3"/>
    </row>
    <row r="311" spans="6:8" x14ac:dyDescent="0.25">
      <c r="F311" s="3"/>
      <c r="G311" s="3"/>
      <c r="H311" s="3"/>
    </row>
    <row r="312" spans="6:8" x14ac:dyDescent="0.25">
      <c r="F312" s="3"/>
      <c r="G312" s="3"/>
      <c r="H312" s="3"/>
    </row>
    <row r="313" spans="6:8" x14ac:dyDescent="0.25">
      <c r="F313" s="3"/>
      <c r="G313" s="3"/>
      <c r="H313" s="3"/>
    </row>
    <row r="314" spans="6:8" x14ac:dyDescent="0.25">
      <c r="F314" s="3"/>
      <c r="G314" s="3"/>
      <c r="H314" s="3"/>
    </row>
    <row r="315" spans="6:8" x14ac:dyDescent="0.25">
      <c r="F315" s="3"/>
      <c r="G315" s="3"/>
      <c r="H315" s="3"/>
    </row>
    <row r="316" spans="6:8" x14ac:dyDescent="0.25">
      <c r="F316" s="3"/>
      <c r="G316" s="3"/>
      <c r="H316" s="3"/>
    </row>
    <row r="317" spans="6:8" x14ac:dyDescent="0.25">
      <c r="F317" s="3"/>
      <c r="G317" s="3"/>
      <c r="H317" s="3"/>
    </row>
    <row r="318" spans="6:8" x14ac:dyDescent="0.25">
      <c r="F318" s="3"/>
      <c r="G318" s="3"/>
      <c r="H318" s="3"/>
    </row>
    <row r="319" spans="6:8" x14ac:dyDescent="0.25">
      <c r="F319" s="3"/>
      <c r="G319" s="3"/>
      <c r="H319" s="3"/>
    </row>
    <row r="320" spans="6:8" x14ac:dyDescent="0.25">
      <c r="F320" s="3"/>
      <c r="G320" s="3"/>
      <c r="H320" s="3"/>
    </row>
    <row r="321" spans="6:8" x14ac:dyDescent="0.25">
      <c r="F321" s="3"/>
      <c r="G321" s="3"/>
      <c r="H321" s="3"/>
    </row>
    <row r="322" spans="6:8" x14ac:dyDescent="0.25">
      <c r="F322" s="3"/>
      <c r="G322" s="3"/>
      <c r="H322" s="3"/>
    </row>
    <row r="323" spans="6:8" x14ac:dyDescent="0.25">
      <c r="F323" s="3"/>
      <c r="G323" s="3"/>
      <c r="H323" s="3"/>
    </row>
    <row r="324" spans="6:8" x14ac:dyDescent="0.25">
      <c r="F324" s="3"/>
      <c r="G324" s="3"/>
      <c r="H324" s="3"/>
    </row>
    <row r="325" spans="6:8" x14ac:dyDescent="0.25">
      <c r="F325" s="3"/>
      <c r="G325" s="3"/>
      <c r="H325" s="3"/>
    </row>
    <row r="326" spans="6:8" x14ac:dyDescent="0.25">
      <c r="F326" s="3"/>
      <c r="G326" s="3"/>
      <c r="H326" s="3"/>
    </row>
    <row r="327" spans="6:8" x14ac:dyDescent="0.25">
      <c r="F327" s="3"/>
      <c r="G327" s="3"/>
      <c r="H327" s="3"/>
    </row>
    <row r="328" spans="6:8" x14ac:dyDescent="0.25">
      <c r="F328" s="3"/>
      <c r="G328" s="3"/>
      <c r="H328" s="3"/>
    </row>
    <row r="329" spans="6:8" x14ac:dyDescent="0.25">
      <c r="F329" s="3"/>
      <c r="G329" s="3"/>
      <c r="H329" s="3"/>
    </row>
    <row r="330" spans="6:8" x14ac:dyDescent="0.25">
      <c r="F330" s="3"/>
      <c r="G330" s="3"/>
      <c r="H330" s="3"/>
    </row>
    <row r="331" spans="6:8" x14ac:dyDescent="0.25">
      <c r="F331" s="3"/>
      <c r="G331" s="3"/>
      <c r="H331" s="3"/>
    </row>
    <row r="332" spans="6:8" x14ac:dyDescent="0.25">
      <c r="F332" s="3"/>
      <c r="G332" s="3"/>
      <c r="H332" s="3"/>
    </row>
    <row r="333" spans="6:8" x14ac:dyDescent="0.25">
      <c r="F333" s="3"/>
      <c r="G333" s="3"/>
      <c r="H333" s="3"/>
    </row>
    <row r="334" spans="6:8" x14ac:dyDescent="0.25">
      <c r="F334" s="3"/>
      <c r="G334" s="3"/>
      <c r="H334" s="3"/>
    </row>
    <row r="335" spans="6:8" x14ac:dyDescent="0.25">
      <c r="F335" s="3"/>
      <c r="G335" s="3"/>
      <c r="H335" s="3"/>
    </row>
    <row r="336" spans="6:8" x14ac:dyDescent="0.25">
      <c r="F336" s="3"/>
      <c r="G336" s="3"/>
      <c r="H336" s="3"/>
    </row>
    <row r="337" spans="6:8" x14ac:dyDescent="0.25">
      <c r="F337" s="3"/>
      <c r="G337" s="3"/>
      <c r="H337" s="3"/>
    </row>
    <row r="338" spans="6:8" x14ac:dyDescent="0.25">
      <c r="F338" s="3"/>
      <c r="G338" s="3"/>
      <c r="H338" s="3"/>
    </row>
    <row r="339" spans="6:8" x14ac:dyDescent="0.25">
      <c r="F339" s="3"/>
      <c r="G339" s="3"/>
      <c r="H339" s="3"/>
    </row>
    <row r="340" spans="6:8" x14ac:dyDescent="0.25">
      <c r="F340" s="3"/>
      <c r="G340" s="3"/>
      <c r="H340" s="3"/>
    </row>
    <row r="341" spans="6:8" x14ac:dyDescent="0.25">
      <c r="F341" s="3"/>
      <c r="G341" s="3"/>
      <c r="H341" s="3"/>
    </row>
    <row r="342" spans="6:8" x14ac:dyDescent="0.25">
      <c r="F342" s="3"/>
      <c r="G342" s="3"/>
      <c r="H342" s="3"/>
    </row>
    <row r="343" spans="6:8" x14ac:dyDescent="0.25">
      <c r="F343" s="3"/>
      <c r="G343" s="3"/>
      <c r="H343" s="3"/>
    </row>
    <row r="344" spans="6:8" x14ac:dyDescent="0.25">
      <c r="F344" s="3"/>
      <c r="G344" s="3"/>
      <c r="H344" s="3"/>
    </row>
    <row r="345" spans="6:8" x14ac:dyDescent="0.25">
      <c r="F345" s="3"/>
      <c r="G345" s="3"/>
      <c r="H345" s="3"/>
    </row>
    <row r="346" spans="6:8" x14ac:dyDescent="0.25">
      <c r="F346" s="3"/>
      <c r="G346" s="3"/>
      <c r="H346" s="3"/>
    </row>
    <row r="347" spans="6:8" x14ac:dyDescent="0.25">
      <c r="F347" s="3"/>
      <c r="G347" s="3"/>
      <c r="H347" s="3"/>
    </row>
    <row r="348" spans="6:8" x14ac:dyDescent="0.25">
      <c r="F348" s="3"/>
      <c r="G348" s="3"/>
      <c r="H348" s="3"/>
    </row>
    <row r="349" spans="6:8" x14ac:dyDescent="0.25">
      <c r="F349" s="3"/>
      <c r="G349" s="3"/>
      <c r="H349" s="3"/>
    </row>
    <row r="350" spans="6:8" x14ac:dyDescent="0.25">
      <c r="F350" s="3"/>
      <c r="G350" s="3"/>
      <c r="H350" s="3"/>
    </row>
    <row r="351" spans="6:8" x14ac:dyDescent="0.25">
      <c r="F351" s="3"/>
      <c r="G351" s="3"/>
      <c r="H351" s="3"/>
    </row>
    <row r="352" spans="6:8" x14ac:dyDescent="0.25">
      <c r="F352" s="3"/>
      <c r="G352" s="3"/>
      <c r="H352" s="3"/>
    </row>
    <row r="353" spans="6:8" x14ac:dyDescent="0.25">
      <c r="F353" s="3"/>
      <c r="G353" s="3"/>
      <c r="H353" s="3"/>
    </row>
    <row r="354" spans="6:8" x14ac:dyDescent="0.25">
      <c r="F354" s="3"/>
      <c r="G354" s="3"/>
      <c r="H354" s="3"/>
    </row>
    <row r="355" spans="6:8" x14ac:dyDescent="0.25">
      <c r="F355" s="3"/>
      <c r="G355" s="3"/>
      <c r="H355" s="3"/>
    </row>
    <row r="356" spans="6:8" x14ac:dyDescent="0.25">
      <c r="F356" s="3"/>
      <c r="G356" s="3"/>
      <c r="H356" s="3"/>
    </row>
    <row r="357" spans="6:8" x14ac:dyDescent="0.25">
      <c r="F357" s="3"/>
      <c r="G357" s="3"/>
      <c r="H357" s="3"/>
    </row>
    <row r="358" spans="6:8" x14ac:dyDescent="0.25">
      <c r="F358" s="3"/>
      <c r="G358" s="3"/>
      <c r="H358" s="3"/>
    </row>
    <row r="359" spans="6:8" x14ac:dyDescent="0.25">
      <c r="F359" s="3"/>
      <c r="G359" s="3"/>
      <c r="H359" s="3"/>
    </row>
    <row r="360" spans="6:8" x14ac:dyDescent="0.25">
      <c r="F360" s="3"/>
      <c r="G360" s="3"/>
      <c r="H360" s="3"/>
    </row>
    <row r="361" spans="6:8" x14ac:dyDescent="0.25">
      <c r="F361" s="3"/>
      <c r="G361" s="3"/>
      <c r="H361" s="3"/>
    </row>
    <row r="362" spans="6:8" x14ac:dyDescent="0.25">
      <c r="F362" s="3"/>
      <c r="G362" s="3"/>
      <c r="H362" s="3"/>
    </row>
    <row r="363" spans="6:8" x14ac:dyDescent="0.25">
      <c r="F363" s="3"/>
      <c r="G363" s="3"/>
      <c r="H363" s="3"/>
    </row>
    <row r="364" spans="6:8" x14ac:dyDescent="0.25">
      <c r="F364" s="3"/>
      <c r="G364" s="3"/>
      <c r="H364" s="3"/>
    </row>
    <row r="365" spans="6:8" x14ac:dyDescent="0.25">
      <c r="F365" s="3"/>
      <c r="G365" s="3"/>
      <c r="H365" s="3"/>
    </row>
    <row r="366" spans="6:8" x14ac:dyDescent="0.25">
      <c r="F366" s="3"/>
      <c r="G366" s="3"/>
      <c r="H366" s="3"/>
    </row>
    <row r="367" spans="6:8" x14ac:dyDescent="0.25">
      <c r="F367" s="3"/>
      <c r="G367" s="3"/>
      <c r="H367" s="3"/>
    </row>
    <row r="368" spans="6:8" x14ac:dyDescent="0.25">
      <c r="F368" s="3"/>
      <c r="G368" s="3"/>
      <c r="H368" s="3"/>
    </row>
    <row r="369" spans="6:8" x14ac:dyDescent="0.25">
      <c r="F369" s="3"/>
      <c r="G369" s="3"/>
      <c r="H369" s="3"/>
    </row>
    <row r="370" spans="6:8" x14ac:dyDescent="0.25">
      <c r="F370" s="3"/>
      <c r="G370" s="3"/>
      <c r="H370" s="3"/>
    </row>
    <row r="371" spans="6:8" x14ac:dyDescent="0.25">
      <c r="F371" s="3"/>
      <c r="G371" s="3"/>
      <c r="H371" s="3"/>
    </row>
    <row r="372" spans="6:8" x14ac:dyDescent="0.25">
      <c r="F372" s="3"/>
      <c r="G372" s="3"/>
      <c r="H372" s="3"/>
    </row>
    <row r="373" spans="6:8" x14ac:dyDescent="0.25">
      <c r="F373" s="3"/>
      <c r="G373" s="3"/>
      <c r="H373" s="3"/>
    </row>
    <row r="374" spans="6:8" x14ac:dyDescent="0.25">
      <c r="F374" s="3"/>
      <c r="G374" s="3"/>
      <c r="H374" s="3"/>
    </row>
    <row r="375" spans="6:8" x14ac:dyDescent="0.25">
      <c r="F375" s="3"/>
      <c r="G375" s="3"/>
      <c r="H375" s="3"/>
    </row>
    <row r="376" spans="6:8" x14ac:dyDescent="0.25">
      <c r="F376" s="3"/>
      <c r="G376" s="3"/>
      <c r="H376" s="3"/>
    </row>
    <row r="377" spans="6:8" x14ac:dyDescent="0.25">
      <c r="F377" s="3"/>
      <c r="G377" s="3"/>
      <c r="H377" s="3"/>
    </row>
    <row r="378" spans="6:8" x14ac:dyDescent="0.25">
      <c r="F378" s="3"/>
      <c r="G378" s="3"/>
      <c r="H378" s="3"/>
    </row>
    <row r="379" spans="6:8" x14ac:dyDescent="0.25">
      <c r="F379" s="3"/>
      <c r="G379" s="3"/>
      <c r="H379" s="3"/>
    </row>
    <row r="380" spans="6:8" x14ac:dyDescent="0.25">
      <c r="F380" s="3"/>
      <c r="G380" s="3"/>
      <c r="H380" s="3"/>
    </row>
    <row r="381" spans="6:8" x14ac:dyDescent="0.25">
      <c r="F381" s="3"/>
      <c r="G381" s="3"/>
      <c r="H381" s="3"/>
    </row>
    <row r="382" spans="6:8" x14ac:dyDescent="0.25">
      <c r="F382" s="3"/>
      <c r="G382" s="3"/>
      <c r="H382" s="3"/>
    </row>
    <row r="383" spans="6:8" x14ac:dyDescent="0.25">
      <c r="F383" s="3"/>
      <c r="G383" s="3"/>
      <c r="H383" s="3"/>
    </row>
    <row r="384" spans="6:8" x14ac:dyDescent="0.25">
      <c r="F384" s="3"/>
      <c r="G384" s="3"/>
      <c r="H384" s="3"/>
    </row>
    <row r="385" spans="6:8" x14ac:dyDescent="0.25">
      <c r="F385" s="3"/>
      <c r="G385" s="3"/>
      <c r="H385" s="3"/>
    </row>
    <row r="386" spans="6:8" x14ac:dyDescent="0.25">
      <c r="F386" s="3"/>
      <c r="G386" s="3"/>
      <c r="H386" s="3"/>
    </row>
    <row r="387" spans="6:8" x14ac:dyDescent="0.25">
      <c r="F387" s="3"/>
      <c r="G387" s="3"/>
      <c r="H387" s="3"/>
    </row>
    <row r="388" spans="6:8" x14ac:dyDescent="0.25">
      <c r="F388" s="3"/>
      <c r="G388" s="3"/>
      <c r="H388" s="3"/>
    </row>
    <row r="389" spans="6:8" x14ac:dyDescent="0.25">
      <c r="F389" s="3"/>
      <c r="G389" s="3"/>
      <c r="H389" s="3"/>
    </row>
    <row r="390" spans="6:8" x14ac:dyDescent="0.25">
      <c r="F390" s="3"/>
      <c r="G390" s="3"/>
      <c r="H390" s="3"/>
    </row>
    <row r="391" spans="6:8" x14ac:dyDescent="0.25">
      <c r="F391" s="3"/>
      <c r="G391" s="3"/>
      <c r="H391" s="3"/>
    </row>
    <row r="392" spans="6:8" x14ac:dyDescent="0.25">
      <c r="F392" s="3"/>
      <c r="G392" s="3"/>
      <c r="H392" s="3"/>
    </row>
    <row r="393" spans="6:8" x14ac:dyDescent="0.25">
      <c r="F393" s="3"/>
      <c r="G393" s="3"/>
      <c r="H393" s="3"/>
    </row>
    <row r="394" spans="6:8" x14ac:dyDescent="0.25">
      <c r="F394" s="3"/>
      <c r="G394" s="3"/>
      <c r="H394" s="3"/>
    </row>
    <row r="395" spans="6:8" x14ac:dyDescent="0.25">
      <c r="F395" s="3"/>
      <c r="G395" s="3"/>
      <c r="H395" s="3"/>
    </row>
    <row r="396" spans="6:8" x14ac:dyDescent="0.25">
      <c r="F396" s="3"/>
      <c r="G396" s="3"/>
      <c r="H396" s="3"/>
    </row>
    <row r="397" spans="6:8" x14ac:dyDescent="0.25">
      <c r="F397" s="3"/>
      <c r="G397" s="3"/>
      <c r="H397" s="3"/>
    </row>
    <row r="398" spans="6:8" x14ac:dyDescent="0.25">
      <c r="F398" s="3"/>
      <c r="G398" s="3"/>
      <c r="H398" s="3"/>
    </row>
    <row r="399" spans="6:8" x14ac:dyDescent="0.25">
      <c r="F399" s="3"/>
      <c r="G399" s="3"/>
      <c r="H399" s="3"/>
    </row>
    <row r="400" spans="6:8" x14ac:dyDescent="0.25">
      <c r="F400" s="3"/>
      <c r="G400" s="3"/>
      <c r="H400" s="3"/>
    </row>
    <row r="401" spans="6:8" x14ac:dyDescent="0.25">
      <c r="F401" s="3"/>
      <c r="G401" s="3"/>
      <c r="H401" s="3"/>
    </row>
    <row r="402" spans="6:8" x14ac:dyDescent="0.25">
      <c r="F402" s="3"/>
      <c r="G402" s="3"/>
      <c r="H402" s="3"/>
    </row>
    <row r="403" spans="6:8" x14ac:dyDescent="0.25">
      <c r="F403" s="3"/>
      <c r="G403" s="3"/>
      <c r="H403" s="3"/>
    </row>
    <row r="404" spans="6:8" x14ac:dyDescent="0.25">
      <c r="F404" s="3"/>
      <c r="G404" s="3"/>
      <c r="H404" s="3"/>
    </row>
    <row r="405" spans="6:8" x14ac:dyDescent="0.25">
      <c r="F405" s="3"/>
      <c r="G405" s="3"/>
      <c r="H405" s="3"/>
    </row>
    <row r="406" spans="6:8" x14ac:dyDescent="0.25">
      <c r="F406" s="3"/>
      <c r="G406" s="3"/>
      <c r="H406" s="3"/>
    </row>
    <row r="407" spans="6:8" x14ac:dyDescent="0.25">
      <c r="F407" s="3"/>
      <c r="G407" s="3"/>
      <c r="H407" s="3"/>
    </row>
    <row r="408" spans="6:8" x14ac:dyDescent="0.25">
      <c r="F408" s="3"/>
      <c r="G408" s="3"/>
      <c r="H408" s="3"/>
    </row>
    <row r="409" spans="6:8" x14ac:dyDescent="0.25">
      <c r="F409" s="3"/>
      <c r="G409" s="3"/>
      <c r="H409" s="3"/>
    </row>
    <row r="410" spans="6:8" x14ac:dyDescent="0.25">
      <c r="F410" s="3"/>
      <c r="G410" s="3"/>
      <c r="H410" s="3"/>
    </row>
    <row r="411" spans="6:8" x14ac:dyDescent="0.25">
      <c r="F411" s="3"/>
      <c r="G411" s="3"/>
      <c r="H411" s="3"/>
    </row>
    <row r="412" spans="6:8" x14ac:dyDescent="0.25">
      <c r="F412" s="3"/>
      <c r="G412" s="3"/>
      <c r="H412" s="3"/>
    </row>
    <row r="413" spans="6:8" x14ac:dyDescent="0.25">
      <c r="F413" s="3"/>
      <c r="G413" s="3"/>
      <c r="H413" s="3"/>
    </row>
    <row r="414" spans="6:8" x14ac:dyDescent="0.25">
      <c r="F414" s="3"/>
      <c r="G414" s="3"/>
      <c r="H414" s="3"/>
    </row>
    <row r="415" spans="6:8" x14ac:dyDescent="0.25">
      <c r="F415" s="3"/>
      <c r="G415" s="3"/>
      <c r="H415" s="3"/>
    </row>
    <row r="416" spans="6:8" x14ac:dyDescent="0.25">
      <c r="F416" s="3"/>
      <c r="G416" s="3"/>
      <c r="H416" s="3"/>
    </row>
    <row r="417" spans="6:8" x14ac:dyDescent="0.25">
      <c r="F417" s="3"/>
      <c r="G417" s="3"/>
      <c r="H417" s="3"/>
    </row>
    <row r="418" spans="6:8" x14ac:dyDescent="0.25">
      <c r="F418" s="3"/>
      <c r="G418" s="3"/>
      <c r="H418" s="3"/>
    </row>
    <row r="419" spans="6:8" x14ac:dyDescent="0.25">
      <c r="F419" s="3"/>
      <c r="G419" s="3"/>
      <c r="H419" s="3"/>
    </row>
    <row r="420" spans="6:8" x14ac:dyDescent="0.25">
      <c r="F420" s="3"/>
      <c r="G420" s="3"/>
      <c r="H420" s="3"/>
    </row>
    <row r="421" spans="6:8" x14ac:dyDescent="0.25">
      <c r="F421" s="3"/>
      <c r="G421" s="3"/>
      <c r="H421" s="3"/>
    </row>
    <row r="422" spans="6:8" x14ac:dyDescent="0.25">
      <c r="F422" s="3"/>
      <c r="G422" s="3"/>
      <c r="H422" s="3"/>
    </row>
    <row r="423" spans="6:8" x14ac:dyDescent="0.25">
      <c r="F423" s="3"/>
      <c r="G423" s="3"/>
      <c r="H423" s="3"/>
    </row>
    <row r="424" spans="6:8" x14ac:dyDescent="0.25">
      <c r="F424" s="3"/>
      <c r="G424" s="3"/>
      <c r="H424" s="3"/>
    </row>
    <row r="425" spans="6:8" x14ac:dyDescent="0.25">
      <c r="F425" s="3"/>
      <c r="G425" s="3"/>
      <c r="H425" s="3"/>
    </row>
    <row r="426" spans="6:8" x14ac:dyDescent="0.25">
      <c r="F426" s="3"/>
      <c r="G426" s="3"/>
      <c r="H426" s="3"/>
    </row>
    <row r="427" spans="6:8" x14ac:dyDescent="0.25">
      <c r="F427" s="3"/>
      <c r="G427" s="3"/>
      <c r="H427" s="3"/>
    </row>
    <row r="428" spans="6:8" x14ac:dyDescent="0.25">
      <c r="F428" s="3"/>
      <c r="G428" s="3"/>
      <c r="H428" s="3"/>
    </row>
    <row r="429" spans="6:8" x14ac:dyDescent="0.25">
      <c r="F429" s="3"/>
      <c r="G429" s="3"/>
      <c r="H429" s="3"/>
    </row>
    <row r="430" spans="6:8" x14ac:dyDescent="0.25">
      <c r="F430" s="3"/>
      <c r="G430" s="3"/>
      <c r="H430" s="3"/>
    </row>
    <row r="431" spans="6:8" x14ac:dyDescent="0.25">
      <c r="F431" s="3"/>
      <c r="G431" s="3"/>
      <c r="H431" s="3"/>
    </row>
    <row r="432" spans="6:8" x14ac:dyDescent="0.25">
      <c r="F432" s="3"/>
      <c r="G432" s="3"/>
      <c r="H432" s="3"/>
    </row>
    <row r="433" spans="6:8" x14ac:dyDescent="0.25">
      <c r="F433" s="3"/>
      <c r="G433" s="3"/>
      <c r="H433" s="3"/>
    </row>
    <row r="434" spans="6:8" x14ac:dyDescent="0.25">
      <c r="F434" s="3"/>
      <c r="G434" s="3"/>
      <c r="H434" s="3"/>
    </row>
    <row r="435" spans="6:8" x14ac:dyDescent="0.25">
      <c r="F435" s="3"/>
      <c r="G435" s="3"/>
      <c r="H435" s="3"/>
    </row>
    <row r="436" spans="6:8" x14ac:dyDescent="0.25">
      <c r="F436" s="3"/>
      <c r="G436" s="3"/>
      <c r="H436" s="3"/>
    </row>
    <row r="437" spans="6:8" x14ac:dyDescent="0.25">
      <c r="F437" s="3"/>
      <c r="G437" s="3"/>
      <c r="H437" s="3"/>
    </row>
    <row r="438" spans="6:8" x14ac:dyDescent="0.25">
      <c r="F438" s="3"/>
      <c r="G438" s="3"/>
      <c r="H438" s="3"/>
    </row>
    <row r="439" spans="6:8" x14ac:dyDescent="0.25">
      <c r="F439" s="3"/>
      <c r="G439" s="3"/>
      <c r="H439" s="3"/>
    </row>
    <row r="440" spans="6:8" x14ac:dyDescent="0.25">
      <c r="F440" s="3"/>
      <c r="G440" s="3"/>
      <c r="H440" s="3"/>
    </row>
    <row r="441" spans="6:8" x14ac:dyDescent="0.25">
      <c r="F441" s="3"/>
      <c r="G441" s="3"/>
      <c r="H441" s="3"/>
    </row>
    <row r="442" spans="6:8" x14ac:dyDescent="0.25">
      <c r="F442" s="3"/>
      <c r="G442" s="3"/>
      <c r="H442" s="3"/>
    </row>
    <row r="443" spans="6:8" x14ac:dyDescent="0.25">
      <c r="F443" s="3"/>
      <c r="G443" s="3"/>
      <c r="H443" s="3"/>
    </row>
    <row r="444" spans="6:8" x14ac:dyDescent="0.25">
      <c r="F444" s="3"/>
      <c r="G444" s="3"/>
      <c r="H444" s="3"/>
    </row>
    <row r="445" spans="6:8" x14ac:dyDescent="0.25">
      <c r="F445" s="3"/>
      <c r="G445" s="3"/>
      <c r="H445" s="3"/>
    </row>
    <row r="446" spans="6:8" x14ac:dyDescent="0.25">
      <c r="F446" s="3"/>
      <c r="G446" s="3"/>
      <c r="H446" s="3"/>
    </row>
    <row r="447" spans="6:8" x14ac:dyDescent="0.25">
      <c r="F447" s="3"/>
      <c r="G447" s="3"/>
      <c r="H447" s="3"/>
    </row>
    <row r="448" spans="6:8" x14ac:dyDescent="0.25">
      <c r="F448" s="3"/>
      <c r="G448" s="3"/>
      <c r="H448" s="3"/>
    </row>
    <row r="449" spans="6:8" x14ac:dyDescent="0.25">
      <c r="F449" s="3"/>
      <c r="G449" s="3"/>
      <c r="H449" s="3"/>
    </row>
    <row r="450" spans="6:8" x14ac:dyDescent="0.25">
      <c r="F450" s="3"/>
      <c r="G450" s="3"/>
      <c r="H450" s="3"/>
    </row>
    <row r="451" spans="6:8" x14ac:dyDescent="0.25">
      <c r="F451" s="3"/>
      <c r="G451" s="3"/>
      <c r="H451" s="3"/>
    </row>
    <row r="452" spans="6:8" x14ac:dyDescent="0.25">
      <c r="F452" s="3"/>
      <c r="G452" s="3"/>
      <c r="H452" s="3"/>
    </row>
    <row r="453" spans="6:8" x14ac:dyDescent="0.25">
      <c r="F453" s="3"/>
      <c r="G453" s="3"/>
      <c r="H453" s="3"/>
    </row>
    <row r="454" spans="6:8" x14ac:dyDescent="0.25">
      <c r="F454" s="3"/>
      <c r="G454" s="3"/>
      <c r="H454" s="3"/>
    </row>
    <row r="455" spans="6:8" x14ac:dyDescent="0.25">
      <c r="F455" s="3"/>
      <c r="G455" s="3"/>
      <c r="H455" s="3"/>
    </row>
    <row r="456" spans="6:8" x14ac:dyDescent="0.25">
      <c r="F456" s="3"/>
      <c r="G456" s="3"/>
      <c r="H456" s="3"/>
    </row>
    <row r="457" spans="6:8" x14ac:dyDescent="0.25">
      <c r="F457" s="3"/>
      <c r="G457" s="3"/>
      <c r="H457" s="3"/>
    </row>
    <row r="458" spans="6:8" x14ac:dyDescent="0.25">
      <c r="F458" s="3"/>
      <c r="G458" s="3"/>
      <c r="H458" s="3"/>
    </row>
    <row r="459" spans="6:8" x14ac:dyDescent="0.25">
      <c r="F459" s="3"/>
      <c r="G459" s="3"/>
      <c r="H459" s="3"/>
    </row>
    <row r="460" spans="6:8" x14ac:dyDescent="0.25">
      <c r="F460" s="3"/>
      <c r="G460" s="3"/>
      <c r="H460" s="3"/>
    </row>
    <row r="461" spans="6:8" x14ac:dyDescent="0.25">
      <c r="F461" s="3"/>
      <c r="G461" s="3"/>
      <c r="H461" s="3"/>
    </row>
    <row r="462" spans="6:8" x14ac:dyDescent="0.25">
      <c r="F462" s="3"/>
      <c r="G462" s="3"/>
      <c r="H462" s="3"/>
    </row>
    <row r="463" spans="6:8" x14ac:dyDescent="0.25">
      <c r="F463" s="3"/>
      <c r="G463" s="3"/>
      <c r="H463" s="3"/>
    </row>
    <row r="464" spans="6:8" x14ac:dyDescent="0.25">
      <c r="F464" s="3"/>
      <c r="G464" s="3"/>
      <c r="H464" s="3"/>
    </row>
    <row r="465" spans="6:8" x14ac:dyDescent="0.25">
      <c r="F465" s="3"/>
      <c r="G465" s="3"/>
      <c r="H465" s="3"/>
    </row>
    <row r="466" spans="6:8" x14ac:dyDescent="0.25">
      <c r="F466" s="3"/>
      <c r="G466" s="3"/>
      <c r="H466" s="3"/>
    </row>
    <row r="467" spans="6:8" x14ac:dyDescent="0.25">
      <c r="F467" s="3"/>
      <c r="G467" s="3"/>
      <c r="H467" s="3"/>
    </row>
    <row r="468" spans="6:8" x14ac:dyDescent="0.25">
      <c r="F468" s="3"/>
      <c r="G468" s="3"/>
      <c r="H468" s="3"/>
    </row>
    <row r="469" spans="6:8" x14ac:dyDescent="0.25">
      <c r="F469" s="3"/>
      <c r="G469" s="3"/>
      <c r="H469" s="3"/>
    </row>
    <row r="470" spans="6:8" x14ac:dyDescent="0.25">
      <c r="F470" s="3"/>
      <c r="G470" s="3"/>
      <c r="H470" s="3"/>
    </row>
    <row r="471" spans="6:8" x14ac:dyDescent="0.25">
      <c r="F471" s="3"/>
      <c r="G471" s="3"/>
      <c r="H471" s="3"/>
    </row>
    <row r="472" spans="6:8" x14ac:dyDescent="0.25">
      <c r="F472" s="3"/>
      <c r="G472" s="3"/>
      <c r="H472" s="3"/>
    </row>
    <row r="473" spans="6:8" x14ac:dyDescent="0.25">
      <c r="F473" s="3"/>
      <c r="G473" s="3"/>
      <c r="H473" s="3"/>
    </row>
    <row r="474" spans="6:8" x14ac:dyDescent="0.25">
      <c r="F474" s="3"/>
      <c r="G474" s="3"/>
      <c r="H474" s="3"/>
    </row>
    <row r="475" spans="6:8" x14ac:dyDescent="0.25">
      <c r="F475" s="3"/>
      <c r="G475" s="3"/>
      <c r="H475" s="3"/>
    </row>
    <row r="476" spans="6:8" x14ac:dyDescent="0.25">
      <c r="F476" s="3"/>
      <c r="G476" s="3"/>
      <c r="H476" s="3"/>
    </row>
    <row r="477" spans="6:8" x14ac:dyDescent="0.25">
      <c r="F477" s="3"/>
      <c r="G477" s="3"/>
      <c r="H477" s="3"/>
    </row>
    <row r="478" spans="6:8" x14ac:dyDescent="0.25">
      <c r="F478" s="3"/>
      <c r="G478" s="3"/>
      <c r="H478" s="3"/>
    </row>
    <row r="479" spans="6:8" x14ac:dyDescent="0.25">
      <c r="F479" s="3"/>
      <c r="G479" s="3"/>
      <c r="H479" s="3"/>
    </row>
    <row r="480" spans="6:8" x14ac:dyDescent="0.25">
      <c r="F480" s="3"/>
      <c r="G480" s="3"/>
      <c r="H480" s="3"/>
    </row>
    <row r="481" spans="6:8" x14ac:dyDescent="0.25">
      <c r="F481" s="3"/>
      <c r="G481" s="3"/>
      <c r="H481" s="3"/>
    </row>
    <row r="482" spans="6:8" x14ac:dyDescent="0.25">
      <c r="F482" s="3"/>
      <c r="G482" s="3"/>
      <c r="H482" s="3"/>
    </row>
    <row r="483" spans="6:8" x14ac:dyDescent="0.25">
      <c r="F483" s="3"/>
      <c r="G483" s="3"/>
      <c r="H483" s="3"/>
    </row>
    <row r="484" spans="6:8" x14ac:dyDescent="0.25">
      <c r="F484" s="3"/>
      <c r="G484" s="3"/>
      <c r="H484" s="3"/>
    </row>
    <row r="485" spans="6:8" x14ac:dyDescent="0.25">
      <c r="F485" s="3"/>
      <c r="G485" s="3"/>
      <c r="H485" s="3"/>
    </row>
    <row r="486" spans="6:8" x14ac:dyDescent="0.25">
      <c r="F486" s="3"/>
      <c r="G486" s="3"/>
      <c r="H486" s="3"/>
    </row>
    <row r="487" spans="6:8" x14ac:dyDescent="0.25">
      <c r="F487" s="3"/>
      <c r="G487" s="3"/>
      <c r="H487" s="3"/>
    </row>
    <row r="488" spans="6:8" x14ac:dyDescent="0.25">
      <c r="F488" s="3"/>
      <c r="G488" s="3"/>
      <c r="H488" s="3"/>
    </row>
    <row r="489" spans="6:8" x14ac:dyDescent="0.25">
      <c r="F489" s="3"/>
      <c r="G489" s="3"/>
      <c r="H489" s="3"/>
    </row>
    <row r="490" spans="6:8" x14ac:dyDescent="0.25">
      <c r="F490" s="3"/>
      <c r="G490" s="3"/>
      <c r="H490" s="3"/>
    </row>
    <row r="491" spans="6:8" x14ac:dyDescent="0.25">
      <c r="F491" s="3"/>
      <c r="G491" s="3"/>
      <c r="H491" s="3"/>
    </row>
    <row r="492" spans="6:8" x14ac:dyDescent="0.25">
      <c r="F492" s="3"/>
      <c r="G492" s="3"/>
      <c r="H492" s="3"/>
    </row>
    <row r="493" spans="6:8" x14ac:dyDescent="0.25">
      <c r="F493" s="3"/>
      <c r="G493" s="3"/>
      <c r="H493" s="3"/>
    </row>
    <row r="494" spans="6:8" x14ac:dyDescent="0.25">
      <c r="F494" s="3"/>
      <c r="G494" s="3"/>
      <c r="H494" s="3"/>
    </row>
    <row r="495" spans="6:8" x14ac:dyDescent="0.25">
      <c r="F495" s="3"/>
      <c r="G495" s="3"/>
      <c r="H495" s="3"/>
    </row>
    <row r="496" spans="6:8" x14ac:dyDescent="0.25">
      <c r="F496" s="3"/>
      <c r="G496" s="3"/>
      <c r="H496" s="3"/>
    </row>
    <row r="497" spans="6:8" x14ac:dyDescent="0.25">
      <c r="F497" s="3"/>
      <c r="G497" s="3"/>
      <c r="H497" s="3"/>
    </row>
    <row r="498" spans="6:8" x14ac:dyDescent="0.25">
      <c r="F498" s="3"/>
      <c r="G498" s="3"/>
      <c r="H498" s="3"/>
    </row>
    <row r="499" spans="6:8" x14ac:dyDescent="0.25">
      <c r="F499" s="3"/>
      <c r="G499" s="3"/>
      <c r="H499" s="3"/>
    </row>
    <row r="500" spans="6:8" x14ac:dyDescent="0.25">
      <c r="F500" s="3"/>
      <c r="G500" s="3"/>
      <c r="H500" s="3"/>
    </row>
    <row r="501" spans="6:8" x14ac:dyDescent="0.25">
      <c r="F501" s="3"/>
      <c r="G501" s="3"/>
      <c r="H501" s="3"/>
    </row>
    <row r="502" spans="6:8" x14ac:dyDescent="0.25">
      <c r="F502" s="3"/>
      <c r="G502" s="3"/>
      <c r="H502" s="3"/>
    </row>
    <row r="503" spans="6:8" x14ac:dyDescent="0.25">
      <c r="F503" s="3"/>
      <c r="G503" s="3"/>
      <c r="H503" s="3"/>
    </row>
    <row r="504" spans="6:8" x14ac:dyDescent="0.25">
      <c r="F504" s="3"/>
      <c r="G504" s="3"/>
      <c r="H504" s="3"/>
    </row>
    <row r="505" spans="6:8" x14ac:dyDescent="0.25">
      <c r="F505" s="3"/>
      <c r="G505" s="3"/>
      <c r="H505" s="3"/>
    </row>
    <row r="506" spans="6:8" x14ac:dyDescent="0.25">
      <c r="F506" s="3"/>
      <c r="G506" s="3"/>
      <c r="H506" s="3"/>
    </row>
    <row r="507" spans="6:8" x14ac:dyDescent="0.25">
      <c r="F507" s="3"/>
      <c r="G507" s="3"/>
      <c r="H507" s="3"/>
    </row>
    <row r="508" spans="6:8" x14ac:dyDescent="0.25">
      <c r="F508" s="3"/>
      <c r="G508" s="3"/>
      <c r="H508" s="3"/>
    </row>
    <row r="509" spans="6:8" x14ac:dyDescent="0.25">
      <c r="F509" s="3"/>
      <c r="G509" s="3"/>
      <c r="H509" s="3"/>
    </row>
    <row r="510" spans="6:8" x14ac:dyDescent="0.25">
      <c r="F510" s="3"/>
      <c r="G510" s="3"/>
      <c r="H510" s="3"/>
    </row>
    <row r="511" spans="6:8" x14ac:dyDescent="0.25">
      <c r="F511" s="3"/>
      <c r="G511" s="3"/>
      <c r="H511" s="3"/>
    </row>
    <row r="512" spans="6:8" x14ac:dyDescent="0.25">
      <c r="F512" s="3"/>
      <c r="G512" s="3"/>
      <c r="H512" s="3"/>
    </row>
    <row r="513" spans="6:8" x14ac:dyDescent="0.25">
      <c r="F513" s="3"/>
      <c r="G513" s="3"/>
      <c r="H513" s="3"/>
    </row>
    <row r="514" spans="6:8" x14ac:dyDescent="0.25">
      <c r="F514" s="3"/>
      <c r="G514" s="3"/>
      <c r="H514" s="3"/>
    </row>
    <row r="515" spans="6:8" x14ac:dyDescent="0.25">
      <c r="F515" s="3"/>
      <c r="G515" s="3"/>
      <c r="H515" s="3"/>
    </row>
    <row r="516" spans="6:8" x14ac:dyDescent="0.25">
      <c r="F516" s="3"/>
      <c r="G516" s="3"/>
      <c r="H516" s="3"/>
    </row>
    <row r="517" spans="6:8" x14ac:dyDescent="0.25">
      <c r="F517" s="3"/>
      <c r="G517" s="3"/>
      <c r="H517" s="3"/>
    </row>
    <row r="518" spans="6:8" x14ac:dyDescent="0.25">
      <c r="F518" s="3"/>
      <c r="G518" s="3"/>
      <c r="H518" s="3"/>
    </row>
    <row r="519" spans="6:8" x14ac:dyDescent="0.25">
      <c r="F519" s="3"/>
      <c r="G519" s="3"/>
      <c r="H519" s="3"/>
    </row>
    <row r="520" spans="6:8" x14ac:dyDescent="0.25">
      <c r="F520" s="3"/>
      <c r="G520" s="3"/>
      <c r="H520" s="3"/>
    </row>
    <row r="521" spans="6:8" x14ac:dyDescent="0.25">
      <c r="F521" s="3"/>
      <c r="G521" s="3"/>
      <c r="H521" s="3"/>
    </row>
    <row r="522" spans="6:8" x14ac:dyDescent="0.25">
      <c r="F522" s="3"/>
      <c r="G522" s="3"/>
      <c r="H522" s="3"/>
    </row>
    <row r="523" spans="6:8" x14ac:dyDescent="0.25">
      <c r="F523" s="3"/>
      <c r="G523" s="3"/>
      <c r="H523" s="3"/>
    </row>
    <row r="524" spans="6:8" x14ac:dyDescent="0.25">
      <c r="F524" s="3"/>
      <c r="G524" s="3"/>
      <c r="H524" s="3"/>
    </row>
    <row r="525" spans="6:8" x14ac:dyDescent="0.25">
      <c r="F525" s="3"/>
      <c r="G525" s="3"/>
      <c r="H525" s="3"/>
    </row>
    <row r="526" spans="6:8" x14ac:dyDescent="0.25">
      <c r="F526" s="3"/>
      <c r="G526" s="3"/>
      <c r="H526" s="3"/>
    </row>
    <row r="527" spans="6:8" x14ac:dyDescent="0.25">
      <c r="F527" s="3"/>
      <c r="G527" s="3"/>
      <c r="H527" s="3"/>
    </row>
    <row r="528" spans="6:8" x14ac:dyDescent="0.25">
      <c r="F528" s="3"/>
      <c r="G528" s="3"/>
      <c r="H528" s="3"/>
    </row>
    <row r="529" spans="6:8" x14ac:dyDescent="0.25">
      <c r="F529" s="3"/>
      <c r="G529" s="3"/>
      <c r="H529" s="3"/>
    </row>
    <row r="530" spans="6:8" x14ac:dyDescent="0.25">
      <c r="F530" s="3"/>
      <c r="G530" s="3"/>
      <c r="H530" s="3"/>
    </row>
    <row r="531" spans="6:8" x14ac:dyDescent="0.25">
      <c r="F531" s="3"/>
      <c r="G531" s="3"/>
      <c r="H531" s="3"/>
    </row>
    <row r="532" spans="6:8" x14ac:dyDescent="0.25">
      <c r="F532" s="3"/>
      <c r="G532" s="3"/>
      <c r="H532" s="3"/>
    </row>
    <row r="533" spans="6:8" x14ac:dyDescent="0.25">
      <c r="F533" s="3"/>
      <c r="G533" s="3"/>
      <c r="H533" s="3"/>
    </row>
    <row r="534" spans="6:8" x14ac:dyDescent="0.25">
      <c r="F534" s="3"/>
      <c r="G534" s="3"/>
      <c r="H534" s="3"/>
    </row>
    <row r="535" spans="6:8" x14ac:dyDescent="0.25">
      <c r="F535" s="3"/>
      <c r="G535" s="3"/>
      <c r="H535" s="3"/>
    </row>
    <row r="536" spans="6:8" x14ac:dyDescent="0.25">
      <c r="F536" s="3"/>
      <c r="G536" s="3"/>
      <c r="H536" s="3"/>
    </row>
    <row r="537" spans="6:8" x14ac:dyDescent="0.25">
      <c r="F537" s="3"/>
      <c r="G537" s="3"/>
      <c r="H537" s="3"/>
    </row>
    <row r="538" spans="6:8" x14ac:dyDescent="0.25">
      <c r="F538" s="3"/>
      <c r="G538" s="3"/>
      <c r="H538" s="3"/>
    </row>
    <row r="539" spans="6:8" x14ac:dyDescent="0.25">
      <c r="F539" s="3"/>
      <c r="G539" s="3"/>
      <c r="H539" s="3"/>
    </row>
    <row r="540" spans="6:8" x14ac:dyDescent="0.25">
      <c r="F540" s="3"/>
      <c r="G540" s="3"/>
      <c r="H540" s="3"/>
    </row>
    <row r="541" spans="6:8" x14ac:dyDescent="0.25">
      <c r="F541" s="3"/>
      <c r="G541" s="3"/>
      <c r="H541" s="3"/>
    </row>
    <row r="542" spans="6:8" x14ac:dyDescent="0.25">
      <c r="F542" s="3"/>
      <c r="G542" s="3"/>
      <c r="H542" s="3"/>
    </row>
    <row r="543" spans="6:8" x14ac:dyDescent="0.25">
      <c r="F543" s="3"/>
      <c r="G543" s="3"/>
      <c r="H543" s="3"/>
    </row>
    <row r="544" spans="6:8" x14ac:dyDescent="0.25">
      <c r="F544" s="3"/>
      <c r="G544" s="3"/>
      <c r="H544" s="3"/>
    </row>
    <row r="545" spans="6:8" x14ac:dyDescent="0.25">
      <c r="F545" s="3"/>
      <c r="G545" s="3"/>
      <c r="H545" s="3"/>
    </row>
    <row r="546" spans="6:8" x14ac:dyDescent="0.25">
      <c r="F546" s="3"/>
      <c r="G546" s="3"/>
      <c r="H546" s="3"/>
    </row>
    <row r="547" spans="6:8" x14ac:dyDescent="0.25">
      <c r="F547" s="3"/>
      <c r="G547" s="3"/>
      <c r="H547" s="3"/>
    </row>
    <row r="548" spans="6:8" x14ac:dyDescent="0.25">
      <c r="F548" s="3"/>
      <c r="G548" s="3"/>
      <c r="H548" s="3"/>
    </row>
    <row r="549" spans="6:8" x14ac:dyDescent="0.25">
      <c r="F549" s="3"/>
      <c r="G549" s="3"/>
      <c r="H549" s="3"/>
    </row>
    <row r="550" spans="6:8" x14ac:dyDescent="0.25">
      <c r="F550" s="3"/>
      <c r="G550" s="3"/>
      <c r="H550" s="3"/>
    </row>
    <row r="551" spans="6:8" x14ac:dyDescent="0.25">
      <c r="F551" s="3"/>
      <c r="G551" s="3"/>
      <c r="H551" s="3"/>
    </row>
    <row r="552" spans="6:8" x14ac:dyDescent="0.25">
      <c r="F552" s="3"/>
      <c r="G552" s="3"/>
      <c r="H552" s="3"/>
    </row>
    <row r="553" spans="6:8" x14ac:dyDescent="0.25">
      <c r="F553" s="3"/>
      <c r="G553" s="3"/>
      <c r="H553" s="3"/>
    </row>
    <row r="554" spans="6:8" x14ac:dyDescent="0.25">
      <c r="F554" s="3"/>
      <c r="G554" s="3"/>
      <c r="H554" s="3"/>
    </row>
    <row r="555" spans="6:8" x14ac:dyDescent="0.25">
      <c r="F555" s="3"/>
      <c r="G555" s="3"/>
      <c r="H555" s="3"/>
    </row>
    <row r="556" spans="6:8" x14ac:dyDescent="0.25">
      <c r="F556" s="3"/>
      <c r="G556" s="3"/>
      <c r="H556" s="3"/>
    </row>
    <row r="557" spans="6:8" x14ac:dyDescent="0.25">
      <c r="F557" s="3"/>
      <c r="G557" s="3"/>
      <c r="H557" s="3"/>
    </row>
    <row r="558" spans="6:8" x14ac:dyDescent="0.25">
      <c r="F558" s="3"/>
      <c r="G558" s="3"/>
      <c r="H558" s="3"/>
    </row>
    <row r="559" spans="6:8" x14ac:dyDescent="0.25">
      <c r="F559" s="3"/>
      <c r="G559" s="3"/>
      <c r="H559" s="3"/>
    </row>
    <row r="560" spans="6:8" x14ac:dyDescent="0.25">
      <c r="F560" s="3"/>
      <c r="G560" s="3"/>
      <c r="H560" s="3"/>
    </row>
    <row r="561" spans="6:8" x14ac:dyDescent="0.25">
      <c r="F561" s="3"/>
      <c r="G561" s="3"/>
      <c r="H561" s="3"/>
    </row>
    <row r="562" spans="6:8" x14ac:dyDescent="0.25">
      <c r="F562" s="3"/>
      <c r="G562" s="3"/>
      <c r="H562" s="3"/>
    </row>
    <row r="563" spans="6:8" x14ac:dyDescent="0.25">
      <c r="F563" s="3"/>
      <c r="G563" s="3"/>
      <c r="H563" s="3"/>
    </row>
    <row r="564" spans="6:8" x14ac:dyDescent="0.25">
      <c r="F564" s="3"/>
      <c r="G564" s="3"/>
      <c r="H564" s="3"/>
    </row>
    <row r="565" spans="6:8" x14ac:dyDescent="0.25">
      <c r="F565" s="3"/>
      <c r="G565" s="3"/>
      <c r="H565" s="3"/>
    </row>
    <row r="566" spans="6:8" x14ac:dyDescent="0.25">
      <c r="F566" s="3"/>
      <c r="G566" s="3"/>
      <c r="H566" s="3"/>
    </row>
    <row r="567" spans="6:8" x14ac:dyDescent="0.25">
      <c r="F567" s="3"/>
      <c r="G567" s="3"/>
      <c r="H567" s="3"/>
    </row>
    <row r="568" spans="6:8" x14ac:dyDescent="0.25">
      <c r="F568" s="3"/>
      <c r="G568" s="3"/>
      <c r="H568" s="3"/>
    </row>
    <row r="569" spans="6:8" x14ac:dyDescent="0.25">
      <c r="F569" s="3"/>
      <c r="G569" s="3"/>
      <c r="H569" s="3"/>
    </row>
    <row r="570" spans="6:8" x14ac:dyDescent="0.25">
      <c r="F570" s="3"/>
      <c r="G570" s="3"/>
      <c r="H570" s="3"/>
    </row>
    <row r="571" spans="6:8" x14ac:dyDescent="0.25">
      <c r="F571" s="3"/>
      <c r="G571" s="3"/>
      <c r="H571" s="3"/>
    </row>
    <row r="572" spans="6:8" x14ac:dyDescent="0.25">
      <c r="F572" s="3"/>
      <c r="G572" s="3"/>
      <c r="H572" s="3"/>
    </row>
    <row r="573" spans="6:8" x14ac:dyDescent="0.25">
      <c r="F573" s="3"/>
      <c r="G573" s="3"/>
      <c r="H573" s="3"/>
    </row>
    <row r="574" spans="6:8" x14ac:dyDescent="0.25">
      <c r="F574" s="3"/>
      <c r="G574" s="3"/>
      <c r="H574" s="3"/>
    </row>
    <row r="575" spans="6:8" x14ac:dyDescent="0.25">
      <c r="F575" s="3"/>
      <c r="G575" s="3"/>
      <c r="H575" s="3"/>
    </row>
    <row r="576" spans="6:8" x14ac:dyDescent="0.25">
      <c r="F576" s="3"/>
      <c r="G576" s="3"/>
      <c r="H576" s="3"/>
    </row>
    <row r="577" spans="6:8" x14ac:dyDescent="0.25">
      <c r="F577" s="3"/>
      <c r="G577" s="3"/>
      <c r="H577" s="3"/>
    </row>
    <row r="578" spans="6:8" x14ac:dyDescent="0.25">
      <c r="F578" s="3"/>
      <c r="G578" s="3"/>
      <c r="H578" s="3"/>
    </row>
    <row r="579" spans="6:8" x14ac:dyDescent="0.25">
      <c r="F579" s="3"/>
      <c r="G579" s="3"/>
      <c r="H579" s="3"/>
    </row>
    <row r="580" spans="6:8" x14ac:dyDescent="0.25">
      <c r="F580" s="3"/>
      <c r="G580" s="3"/>
      <c r="H580" s="3"/>
    </row>
    <row r="581" spans="6:8" x14ac:dyDescent="0.25">
      <c r="F581" s="3"/>
      <c r="G581" s="3"/>
      <c r="H581" s="3"/>
    </row>
    <row r="582" spans="6:8" x14ac:dyDescent="0.25">
      <c r="F582" s="3"/>
      <c r="G582" s="3"/>
      <c r="H582" s="3"/>
    </row>
    <row r="583" spans="6:8" x14ac:dyDescent="0.25">
      <c r="F583" s="3"/>
      <c r="G583" s="3"/>
      <c r="H583" s="3"/>
    </row>
    <row r="584" spans="6:8" x14ac:dyDescent="0.25">
      <c r="F584" s="3"/>
      <c r="G584" s="3"/>
      <c r="H584" s="3"/>
    </row>
    <row r="585" spans="6:8" x14ac:dyDescent="0.25">
      <c r="F585" s="3"/>
      <c r="G585" s="3"/>
      <c r="H585" s="3"/>
    </row>
    <row r="586" spans="6:8" x14ac:dyDescent="0.25">
      <c r="F586" s="3"/>
      <c r="G586" s="3"/>
      <c r="H586" s="3"/>
    </row>
    <row r="587" spans="6:8" x14ac:dyDescent="0.25">
      <c r="F587" s="3"/>
      <c r="G587" s="3"/>
      <c r="H587" s="3"/>
    </row>
    <row r="588" spans="6:8" x14ac:dyDescent="0.25">
      <c r="F588" s="3"/>
      <c r="G588" s="3"/>
      <c r="H588" s="3"/>
    </row>
    <row r="589" spans="6:8" x14ac:dyDescent="0.25">
      <c r="F589" s="3"/>
      <c r="G589" s="3"/>
      <c r="H589" s="3"/>
    </row>
    <row r="590" spans="6:8" x14ac:dyDescent="0.25">
      <c r="F590" s="3"/>
      <c r="G590" s="3"/>
      <c r="H590" s="3"/>
    </row>
    <row r="591" spans="6:8" x14ac:dyDescent="0.25">
      <c r="F591" s="3"/>
      <c r="G591" s="3"/>
      <c r="H591" s="3"/>
    </row>
    <row r="592" spans="6:8" x14ac:dyDescent="0.25">
      <c r="F592" s="3"/>
      <c r="G592" s="3"/>
      <c r="H592" s="3"/>
    </row>
    <row r="593" spans="6:8" x14ac:dyDescent="0.25">
      <c r="F593" s="3"/>
      <c r="G593" s="3"/>
      <c r="H593" s="3"/>
    </row>
    <row r="594" spans="6:8" x14ac:dyDescent="0.25">
      <c r="F594" s="3"/>
      <c r="G594" s="3"/>
      <c r="H594" s="3"/>
    </row>
    <row r="595" spans="6:8" x14ac:dyDescent="0.25">
      <c r="F595" s="3"/>
      <c r="G595" s="3"/>
      <c r="H595" s="3"/>
    </row>
    <row r="596" spans="6:8" x14ac:dyDescent="0.25">
      <c r="F596" s="3"/>
      <c r="G596" s="3"/>
      <c r="H596" s="3"/>
    </row>
    <row r="597" spans="6:8" x14ac:dyDescent="0.25">
      <c r="F597" s="3"/>
      <c r="G597" s="3"/>
      <c r="H597" s="3"/>
    </row>
    <row r="598" spans="6:8" x14ac:dyDescent="0.25">
      <c r="F598" s="3"/>
      <c r="G598" s="3"/>
      <c r="H598" s="3"/>
    </row>
    <row r="599" spans="6:8" x14ac:dyDescent="0.25">
      <c r="F599" s="3"/>
      <c r="G599" s="3"/>
      <c r="H599" s="3"/>
    </row>
    <row r="600" spans="6:8" x14ac:dyDescent="0.25">
      <c r="F600" s="3"/>
      <c r="G600" s="3"/>
      <c r="H600" s="3"/>
    </row>
    <row r="601" spans="6:8" x14ac:dyDescent="0.25">
      <c r="F601" s="3"/>
      <c r="G601" s="3"/>
      <c r="H601" s="3"/>
    </row>
    <row r="602" spans="6:8" x14ac:dyDescent="0.25">
      <c r="F602" s="3"/>
      <c r="G602" s="3"/>
      <c r="H602" s="3"/>
    </row>
    <row r="603" spans="6:8" x14ac:dyDescent="0.25">
      <c r="F603" s="3"/>
      <c r="G603" s="3"/>
      <c r="H603" s="3"/>
    </row>
    <row r="604" spans="6:8" x14ac:dyDescent="0.25">
      <c r="F604" s="3"/>
      <c r="G604" s="3"/>
      <c r="H604" s="3"/>
    </row>
    <row r="605" spans="6:8" x14ac:dyDescent="0.25">
      <c r="F605" s="3"/>
      <c r="G605" s="3"/>
      <c r="H605" s="3"/>
    </row>
    <row r="606" spans="6:8" x14ac:dyDescent="0.25">
      <c r="F606" s="3"/>
      <c r="G606" s="3"/>
      <c r="H606" s="3"/>
    </row>
    <row r="607" spans="6:8" x14ac:dyDescent="0.25">
      <c r="F607" s="3"/>
      <c r="G607" s="3"/>
      <c r="H607" s="3"/>
    </row>
    <row r="608" spans="6:8" x14ac:dyDescent="0.25">
      <c r="F608" s="3"/>
      <c r="G608" s="3"/>
      <c r="H608" s="3"/>
    </row>
    <row r="609" spans="6:8" x14ac:dyDescent="0.25">
      <c r="F609" s="3"/>
      <c r="G609" s="3"/>
      <c r="H609" s="3"/>
    </row>
    <row r="610" spans="6:8" x14ac:dyDescent="0.25">
      <c r="F610" s="3"/>
      <c r="G610" s="3"/>
      <c r="H610" s="3"/>
    </row>
    <row r="611" spans="6:8" x14ac:dyDescent="0.25">
      <c r="F611" s="3"/>
      <c r="G611" s="3"/>
      <c r="H611" s="3"/>
    </row>
    <row r="612" spans="6:8" x14ac:dyDescent="0.25">
      <c r="F612" s="3"/>
      <c r="G612" s="3"/>
      <c r="H612" s="3"/>
    </row>
    <row r="613" spans="6:8" x14ac:dyDescent="0.25">
      <c r="F613" s="3"/>
      <c r="G613" s="3"/>
      <c r="H6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FORMULARIO</vt:lpstr>
      <vt:lpstr>BALANCE</vt:lpstr>
      <vt:lpstr>REQUISICION DE GASES</vt:lpstr>
      <vt:lpstr>ENTREGACILINDROSMESSER</vt:lpstr>
      <vt:lpstr>CILINDROS VACIOS</vt:lpstr>
      <vt:lpstr>NOVEDADES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ICP</dc:creator>
  <cp:lastModifiedBy>Javier Alexander Castellanos Betancourt</cp:lastModifiedBy>
  <dcterms:created xsi:type="dcterms:W3CDTF">2023-01-10T01:20:35Z</dcterms:created>
  <dcterms:modified xsi:type="dcterms:W3CDTF">2025-05-22T17:23:12Z</dcterms:modified>
</cp:coreProperties>
</file>